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SABERES" sheetId="1" r:id="rId5"/>
    <sheet state="visible" name="sit aprendizaje- competencias" sheetId="2" r:id="rId6"/>
    <sheet state="visible" name="peso de las competencias" sheetId="3" r:id="rId7"/>
    <sheet state="visible" name="1ªEV" sheetId="4" r:id="rId8"/>
    <sheet state="visible" name="2ªEV" sheetId="5" r:id="rId9"/>
    <sheet state="visible" name="EV FINAL" sheetId="6" r:id="rId10"/>
  </sheets>
  <definedNames/>
  <calcPr/>
</workbook>
</file>

<file path=xl/sharedStrings.xml><?xml version="1.0" encoding="utf-8"?>
<sst xmlns="http://schemas.openxmlformats.org/spreadsheetml/2006/main" count="570" uniqueCount="210">
  <si>
    <t>Tecnología e Ingeniería I (1º Bachillerato)</t>
  </si>
  <si>
    <t>BLOQUES SABERES</t>
  </si>
  <si>
    <t>COMPETENCIAS ESPECIFICAS</t>
  </si>
  <si>
    <t>X</t>
  </si>
  <si>
    <t>COMPETENCIAS ESPECÍFICAS CON SUS CRITERIOS DE EVALUACIÓN</t>
  </si>
  <si>
    <t>CE1</t>
  </si>
  <si>
    <t>CE2</t>
  </si>
  <si>
    <t>CE3</t>
  </si>
  <si>
    <t>CE4</t>
  </si>
  <si>
    <t>CE5</t>
  </si>
  <si>
    <t>CE6</t>
  </si>
  <si>
    <t>EVALUACIONES</t>
  </si>
  <si>
    <t>SA</t>
  </si>
  <si>
    <t>Temporalización en semanas/sesiones/trimestre</t>
  </si>
  <si>
    <t>1.1</t>
  </si>
  <si>
    <t>1.2</t>
  </si>
  <si>
    <t>1.3</t>
  </si>
  <si>
    <t>1.4</t>
  </si>
  <si>
    <t>1.5</t>
  </si>
  <si>
    <t>1.6</t>
  </si>
  <si>
    <t>2.1</t>
  </si>
  <si>
    <t>2.2</t>
  </si>
  <si>
    <t>2.3</t>
  </si>
  <si>
    <t>2.4</t>
  </si>
  <si>
    <t>3.1</t>
  </si>
  <si>
    <t>3.2</t>
  </si>
  <si>
    <t>3.3</t>
  </si>
  <si>
    <t>4.1</t>
  </si>
  <si>
    <t>4.2</t>
  </si>
  <si>
    <t>4.3</t>
  </si>
  <si>
    <t>4.4</t>
  </si>
  <si>
    <t>5.1</t>
  </si>
  <si>
    <t>5.2</t>
  </si>
  <si>
    <t>5.3</t>
  </si>
  <si>
    <t>5.4</t>
  </si>
  <si>
    <t>5.5</t>
  </si>
  <si>
    <t>6.1</t>
  </si>
  <si>
    <t>6.2</t>
  </si>
  <si>
    <t>6.3</t>
  </si>
  <si>
    <t>6.4</t>
  </si>
  <si>
    <t>URBANLAB 1.0 - BLOQUE I</t>
  </si>
  <si>
    <t>34 Sesiones</t>
  </si>
  <si>
    <t>URBANLAB 1.0 - BLOQUE II</t>
  </si>
  <si>
    <t>URBANLAB 1.0 - BLOQUE III</t>
  </si>
  <si>
    <t>35 sesiones</t>
  </si>
  <si>
    <t>URBANLAB 1.0 - BLOQUE IV</t>
  </si>
  <si>
    <t>BLOQUE I</t>
  </si>
  <si>
    <t>Bloque 1: Proyecto de investigación y desarrollo.</t>
  </si>
  <si>
    <t>Bloque 2: Materiales y fabricación.</t>
  </si>
  <si>
    <t>Bloque 3: Sistemas mecánicos.</t>
  </si>
  <si>
    <t>Bloque 4: Sistemas eléctricos y electrónicos.</t>
  </si>
  <si>
    <t>Bloque 8: Tecnología sostenible.</t>
  </si>
  <si>
    <t>BLOQUE II</t>
  </si>
  <si>
    <t>Bloque 5: Telecomunicaciones.</t>
  </si>
  <si>
    <t>BLOQUE III</t>
  </si>
  <si>
    <t>Bloque 6: Sistemas informáticos.</t>
  </si>
  <si>
    <t>Bloque 7: Automatización.</t>
  </si>
  <si>
    <t>BLOQUE IV</t>
  </si>
  <si>
    <t>COMPETENCIAS</t>
  </si>
  <si>
    <t>PORCENTAJE DE NOTA DE LA MATERIA</t>
  </si>
  <si>
    <t>CRITERIOS</t>
  </si>
  <si>
    <t>PORCENTAJE DE NOTA DE LA COMPETENCIA</t>
  </si>
  <si>
    <t>PORCENTAJE DE NOTA DEL CURSO</t>
  </si>
  <si>
    <t>TOTAL MATERIA (TECNO E ING.I)</t>
  </si>
  <si>
    <t>TOTAL CE1</t>
  </si>
  <si>
    <t>TOTAL CE2</t>
  </si>
  <si>
    <t>TOTAL CE3</t>
  </si>
  <si>
    <t>TOTAL CE4</t>
  </si>
  <si>
    <t>TOTAL CE5</t>
  </si>
  <si>
    <t>TOTAL CE6</t>
  </si>
  <si>
    <t>1ª EVALUACIÓN</t>
  </si>
  <si>
    <t>DETALLE</t>
  </si>
  <si>
    <t>PONDERACIÓN 1ª TRIMESTRE</t>
  </si>
  <si>
    <t>% CONSEGUIDO 1º TRIMESTRE</t>
  </si>
  <si>
    <t>CRIT EVAL</t>
  </si>
  <si>
    <t>PONDERACIÓN DEL CURSO</t>
  </si>
  <si>
    <t>PROGRESO</t>
  </si>
  <si>
    <t>CONSEGUIDO</t>
  </si>
  <si>
    <t>% CONSEGUIDO</t>
  </si>
  <si>
    <t>EVIDENCIA A</t>
  </si>
  <si>
    <t>EVIDENCIA B</t>
  </si>
  <si>
    <t>EVIDENCIA C</t>
  </si>
  <si>
    <t>EVIDENCIA D</t>
  </si>
  <si>
    <t>EVIDENCIA E</t>
  </si>
  <si>
    <t>EVIDENCIA F</t>
  </si>
  <si>
    <t>EVIDENCIA G</t>
  </si>
  <si>
    <t>EVIDENCIA H</t>
  </si>
  <si>
    <t>EVIDENCIA I</t>
  </si>
  <si>
    <t>EVIDENCIA J</t>
  </si>
  <si>
    <t>TOTAL</t>
  </si>
  <si>
    <t>COMP ESP 1</t>
  </si>
  <si>
    <t>NOTA 1º TRIMESTRE</t>
  </si>
  <si>
    <t>NOTA 1ª EVALUACIÓN</t>
  </si>
  <si>
    <t xml:space="preserve">CONSEGUIDO </t>
  </si>
  <si>
    <t>COMP ESP 2</t>
  </si>
  <si>
    <t>COMP ESP 3</t>
  </si>
  <si>
    <t>EVIDENCIAS</t>
  </si>
  <si>
    <t>TIPOS DE EVIDENCIAS</t>
  </si>
  <si>
    <t>CEv relacionados</t>
  </si>
  <si>
    <t>DESCRIPCIÓN</t>
  </si>
  <si>
    <t>A</t>
  </si>
  <si>
    <t>Memoria</t>
  </si>
  <si>
    <t>Apartado 1
(Portada y roles)</t>
  </si>
  <si>
    <t>5.1.6 
(Trabajo en equpo y roles)</t>
  </si>
  <si>
    <t>Portada, logo del equipo, componentes y elección de roles principales.</t>
  </si>
  <si>
    <t>Apartado 2 
(Intro y análisis)</t>
  </si>
  <si>
    <t>5.1.1 (Investigación)</t>
  </si>
  <si>
    <t>Informe donde el alumno analiza el conflicto urbano, investiga y propone una solución del reto y referencia las fuentes de información consultadas relacionándolas con su solución.</t>
  </si>
  <si>
    <t>Apartado 3 
(Justificación estructural)</t>
  </si>
  <si>
    <t>5.1.2 (Iteración)
5.2.1 (Materiales)
5.1.5 (Ciclo de vida)</t>
  </si>
  <si>
    <t>Explicación detallada de cómo ha evolucionado la idea, justificando los cambios realizados desde el boceto al diseño final. Justificación de los materiales elegidos y reflexión técnica sobre el impacto ecosocial del proyecto en el marco del ODS 11. Planificación de la mejora continua del producto desde su diseño virtual hasta su implantación final en el espacio público.</t>
  </si>
  <si>
    <t>Apartado 4
(Diseño Técnico) =</t>
  </si>
  <si>
    <t>5.1.3 (Doc. técnica)</t>
  </si>
  <si>
    <t>Documentación visual mediante capturas del modelo 3D y esquemas que explican el funcionamiento del sistema.</t>
  </si>
  <si>
    <t>Apartado 5
(Planos CAD)</t>
  </si>
  <si>
    <t>5.1.4 (Rep. Gráfica)</t>
  </si>
  <si>
    <t>Planos finales 2D exportados de LibreCAD. Deben cumplir con la normalización (vistas, escalas, acotación y simbología técnica).</t>
  </si>
  <si>
    <t>Apartado 6
(Proceso de fabricación)</t>
  </si>
  <si>
    <t>5.2.2 (Fabricación)
5.2.3 (Nuevos materiales)
5.2.4 (Materiales inteligentes)</t>
  </si>
  <si>
    <t>Análisis sobre la sostenibilidad de nuevos materiales, su ciclo de vida y su impacto transformador en la sociedad, relacionando el prototipo con soluciones derivadas de la nanotecnología, biotecnología o materiales inteligentes. Documentación de los parámetros de laminado (relleno, capas, soportes) y fotos del proceso real.</t>
  </si>
  <si>
    <t>Apartado 7
(Presupuesto)</t>
  </si>
  <si>
    <t>5.3.1 (Herr. Digitales)</t>
  </si>
  <si>
    <t>Uso de herramientas (hojas de cálculo) para estimar el coste económico del filamento y consumo energético.</t>
  </si>
  <si>
    <t>Apartado 8
(Conclusiones)</t>
  </si>
  <si>
    <t>5.1.1 (Investigación)
5.1.5 (Ciclo de vida)</t>
  </si>
  <si>
    <t>Redacción de conclusiones sobre la viabilidad del proyecto. Reflexión e interpretación de los resultados y reflexión sobre el ciclo de vida del producto en las conclusiones.</t>
  </si>
  <si>
    <t>Apartado 9
(Referencias bibliográficas)</t>
  </si>
  <si>
    <t>5.1.1 (Investigación)
5.3.3 (Ética/responsabilidad herramientas digitales)</t>
  </si>
  <si>
    <t>Referencias bibliográficas según formato APA.
Declaración ética sobre el uso responsable de software, respeto a los derechos de autoría en la red y protección de datos en entornos digitales durante el desarrollo de la investigación</t>
  </si>
  <si>
    <t>B</t>
  </si>
  <si>
    <t>Dossier del alumno</t>
  </si>
  <si>
    <t>5.1.2 (Participación desarrollo)</t>
  </si>
  <si>
    <t>Registro de la evolución del diseño. El dossier muestra los bocetos iniciales y la toma de datos. Registro en el Dossier de las modificaciones realizadas desde el boceto inicial hasta el diseño final tras el VºBº. Es la evidencia del trabajo previo a la digitalización.</t>
  </si>
  <si>
    <t>C</t>
  </si>
  <si>
    <t>Prueba Escrita 
(Estructuras/Materiales)</t>
  </si>
  <si>
    <t>5.2.1 (Materiales)</t>
  </si>
  <si>
    <t>Ejercicios de Ingeniería: Resolución presencial de problemas de cálculo de estructuras y propiedades de materiales.</t>
  </si>
  <si>
    <t>D</t>
  </si>
  <si>
    <t>Prueba Práctica (Prototipo)</t>
  </si>
  <si>
    <t>5.2.2 (Fabricación)</t>
  </si>
  <si>
    <t>Prueba práctica: El objeto real impreso en 3D. Se evalúa su funcionalidad y la correcta aplicación de las técnicas de taller. Evaluación directa del Prototipo Físico final impreso en 3D y su ensamblaje.</t>
  </si>
  <si>
    <t>E</t>
  </si>
  <si>
    <t>G-Code / Archivo Slicer</t>
  </si>
  <si>
    <t>Configuración óptima del software de laminado (Cura) demostrando autonomía en la resolución de soportes/relleno.</t>
  </si>
  <si>
    <t>F</t>
  </si>
  <si>
    <t>Presentación oral</t>
  </si>
  <si>
    <t>5.3.2 (Presentación)</t>
  </si>
  <si>
    <t>Exposición pública del proyecto apoyada en soporte digital (presentación de diapositivas o vídeo). Uso de aplicaciones digitales (Canva, PowerPoint) para realizar la presentación de resultados ante la clase de forma óptima.</t>
  </si>
  <si>
    <t>G</t>
  </si>
  <si>
    <t>Tarea de autoevaluación</t>
  </si>
  <si>
    <t>5.3.1 (Autonomía)</t>
  </si>
  <si>
    <t>Reflexión individual sobre el desempeño, la gestión del tiempo y la adquisición de competencias.</t>
  </si>
  <si>
    <t>H</t>
  </si>
  <si>
    <t>Tarea de coevaluación</t>
  </si>
  <si>
    <t>Aporte al equipo según el rol, escucha activa y fomento del bienestar grupal (evaluado entre pares).</t>
  </si>
  <si>
    <t>I</t>
  </si>
  <si>
    <t>Examen tipo test</t>
  </si>
  <si>
    <t>5.1.4 / 5.2.2</t>
  </si>
  <si>
    <t>Cuestionario en Aules sobre Normalización (CAD) y parámetros de Impresión 3D (alturas de capa, soportes).</t>
  </si>
  <si>
    <t>J</t>
  </si>
  <si>
    <t>Observación directa</t>
  </si>
  <si>
    <t>Evaluación del clima grupal mediante observación directa en el taller.</t>
  </si>
  <si>
    <t>2ª EVALUACIÓN</t>
  </si>
  <si>
    <t>PONDERACIÓN 2ª EV</t>
  </si>
  <si>
    <t>% CONSEGUIDO 2º TRIMESTRE</t>
  </si>
  <si>
    <t>% TOTAL</t>
  </si>
  <si>
    <t>NOTA 2ª EVALUACIÓN</t>
  </si>
  <si>
    <t>COMP ESP 4</t>
  </si>
  <si>
    <t>COMP ESP 6</t>
  </si>
  <si>
    <t>Memoria Técnica del Proyecto Urbano</t>
  </si>
  <si>
    <t>5.1.1
5.1.2
5.4.1</t>
  </si>
  <si>
    <t>Documento técnico final por equipos que recopila la investigación previa de soluciones de telecomunicación existentes (5.1.1), el proceso iterativo de diseño y mejora de la torre de telecomunicaciones móvil (5.1.2), y la justificación analítica del cálculo de engranajes, esfuerzos estructurales e integración de sistemas mecánicos (5.4.1).</t>
  </si>
  <si>
    <t>Registro de Taller y Coevaluación de Pares</t>
  </si>
  <si>
    <t>5.1.6</t>
  </si>
  <si>
    <t>Matriz de evaluación entre iguales y observación directa en el taller. Mide el desempeño del alumno en el entorno real de trabajo, analizando el cumplimiento de las tareas del rol asignado, el respeto a las opiniones de los demás mediante la escucha activa y su aportación directa al clima de bienestar grupal (5.1.6).</t>
  </si>
  <si>
    <t>Defensa Técnica de la Solución y Configuración</t>
  </si>
  <si>
    <t>5.3.2
5.3.3</t>
  </si>
  <si>
    <t>Intervención y entrevista técnica en el laboratorio donde el equipo justifica las decisiones de diseño adoptadas. Evalúa de manera estricta el uso ético, legal y responsable de las licencias de software de simulación, la gestión lícita de los recursos de red y el respeto por los derechos de autor de la documentación utilizada (5.3.3).</t>
  </si>
  <si>
    <t>Montaje Físico y Pruebas de Campo de la Maqueta</t>
  </si>
  <si>
    <t>5.2.2
5.6.4</t>
  </si>
  <si>
    <t>Evaluación directa en el laboratorio del prototipo real. Califica la destreza en la fabricación e integración física del hardware en la torre (5.2.2) junto con la ejecución práctica de protocolos de seguridad digital en la configuración local de la red IoT para proteger la transmisión de datos (5.6.4).</t>
  </si>
  <si>
    <t>Prueba de Validación Escrita de Ingeniería</t>
  </si>
  <si>
    <t>5.3.1
5.4.1
5.4.4</t>
  </si>
  <si>
    <t>Control presencial individual de resolución de problemas con autonomía (5.3.1). Evalúa la resolución analítica de la cinemática de mecanismos (5.4.1) y el análisis lógico-técnico para el diagnóstico de fallos, averías mecánicas o pérdidas de paquetes en la infraestructura de red, exigiendo propuestas de subsanación (5.4.4).</t>
  </si>
  <si>
    <t>Portafolio de Delineación y Esquemas de Red</t>
  </si>
  <si>
    <t>5.1.3
5.1.4</t>
  </si>
  <si>
    <t>Conjunto de entregables gráficos individuales realizados en la oficina técnica digitales o analógicos. Evalúa la generación de diagramas lógicos funcionales de los mecanismos (5.1.3) y la representación normalizada con simbología técnica de las vistas CAD de los operadores y componentes cinemáticos (5.1.4).</t>
  </si>
  <si>
    <t>EVALUACIÓN FINAL</t>
  </si>
  <si>
    <t>PONDERACIÓN 3ª EV</t>
  </si>
  <si>
    <t>% CONSEGUIDO 3º TRIMESTRE</t>
  </si>
  <si>
    <t>COMP ESP 5</t>
  </si>
  <si>
    <t>Memoria Técnica de Automatización y Robótica</t>
  </si>
  <si>
    <t>5.1.1
5.1.2
5.4.2</t>
  </si>
  <si>
    <t>Documento final por equipos que integra la investigación previa de automatismos urbanos (5.1.1), el diario de diseño iterativo del código del prototipo (5.1.2) y el análisis analítico y experimental del rendimiento, consumos y curvas de operación de los motores y actuadores integrados en la maqueta (5.4.2).</t>
  </si>
  <si>
    <t>Portafolio de Diagramas de Flujo y Código Fuente</t>
  </si>
  <si>
    <t>Carpeta de entregables individuales de programación. Evalúa la capacidad de representar gráficamente la lógica del programa mediante diagramas de flujo funcionales (5.1.3) y la escritura del código fuente final utilizando la sintaxis, simbología normalizada y comentarios requeridos por la oficina técnica (5.1.4).</t>
  </si>
  <si>
    <t>Registro de Taller y Coevaluación en Tareas de Programación</t>
  </si>
  <si>
    <t>Matriz de evaluación entre iguales y observación directa del profesor en el aula de robótica. Mide el cumplimiento del rol asignado dentro del equipo, la escucha activa ante los razonamientos algorítmicos de los compañeros y la contribución personal al clima de bienestar grupal (5.1.6).</t>
  </si>
  <si>
    <t>Defensa del Firmware e Interfaz Digital</t>
  </si>
  <si>
    <t>5.3.3</t>
  </si>
  <si>
    <t>Entrevista técnica individualizada frente al prototipo automatizado. Evalúa la destreza lícita del alumno para justificar la estructura de su programa en el IDE y comprueba el uso ético y responsable de fragmentos de código de uso libre, librerías estándar y licencias de software (5.3.3).</t>
  </si>
  <si>
    <t>Montaje Físico y Pruebas en Vacío del Circuito de Control</t>
  </si>
  <si>
    <t>5.2.2
5.6.3</t>
  </si>
  <si>
    <t>Evaluación directa en el banco de pruebas de la integración del hardware de control (5.2.2). Califica el cableado de la placa, sensores y actuadores en la maqueta y la aplicación rigurosa de protocolos de seguridad eléctrica, prevención de riesgos y aislamiento de circuitos para evitar cortocircuitos o averías físicas (5.6.3).</t>
  </si>
  <si>
    <t>Pruebas de Funcionamiento de Sistemas de Control Automático</t>
  </si>
  <si>
    <t>5.5.1
5.5.2
5.5.3
5.5.4
5.5.5</t>
  </si>
  <si>
    <t>Cuaderno de laboratorio grupal que recopila las pruebas de funcionamiento de los bloques automáticos. Certifica de forma empírica y experimental la lectura de las entradas del sistema (5.5.1), el procesamiento del bucle de control (5.5.2), la correcta activación de las salidas físicas (5.5.3), las respuestas lógicas ante perturbaciones (5.5.4) y el funcionamiento del bucle cerrado con histéresis (5.5.5).</t>
  </si>
  <si>
    <t>Cuestionario Individual de Algoritmia y Depuración</t>
  </si>
  <si>
    <t>5.3.1
5.5.2</t>
  </si>
  <si>
    <t>Prueba escrita presencial individual de resolución autónoma de tareas de programación (5.3.1). Exige analizar un código con errores funcionales o fallos de temporización para proponer de forma analítica las correcciones de software y lógica necesarias para restablecer el lazo de control (5.5.2).</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</si>
</sst>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0.000%"/>
  </numFmts>
  <fonts count="11">
    <font>
      <sz val="11.0"/>
      <color theme="1"/>
      <name val="Calibri"/>
      <scheme val="minor"/>
    </font>
    <font>
      <b/>
      <sz val="11.0"/>
      <color theme="1"/>
      <name val="Calibri"/>
    </font>
    <font>
      <sz val="11.0"/>
      <color theme="1"/>
      <name val="Calibri"/>
    </font>
    <font/>
    <font>
      <b/>
      <sz val="11.0"/>
      <color rgb="FF000000"/>
      <name val="Calibri"/>
    </font>
    <font>
      <color theme="1"/>
      <name val="'ArialMT'"/>
    </font>
    <font>
      <color theme="1"/>
      <name val="Calibri"/>
      <scheme val="minor"/>
    </font>
    <font>
      <color theme="1"/>
      <name val="Calibri"/>
    </font>
    <font>
      <b/>
      <sz val="14.0"/>
      <color theme="1"/>
      <name val="Calibri"/>
    </font>
    <font>
      <b/>
      <color theme="1"/>
      <name val="Calibri"/>
      <scheme val="minor"/>
    </font>
    <font>
      <b/>
      <sz val="13.0"/>
      <color theme="1"/>
      <name val="Calibri"/>
    </font>
  </fonts>
  <fills count="25">
    <fill>
      <patternFill patternType="none"/>
    </fill>
    <fill>
      <patternFill patternType="lightGray"/>
    </fill>
    <fill>
      <patternFill patternType="solid">
        <fgColor rgb="FFF7CAAC"/>
        <bgColor rgb="FFF7CAAC"/>
      </patternFill>
    </fill>
    <fill>
      <patternFill patternType="solid">
        <fgColor rgb="FFBDD6EE"/>
        <bgColor rgb="FFBDD6EE"/>
      </patternFill>
    </fill>
    <fill>
      <patternFill patternType="solid">
        <fgColor rgb="FFE2EFD9"/>
        <bgColor rgb="FFE2EFD9"/>
      </patternFill>
    </fill>
    <fill>
      <patternFill patternType="solid">
        <fgColor rgb="FFFEF2CB"/>
        <bgColor rgb="FFFEF2CB"/>
      </patternFill>
    </fill>
    <fill>
      <patternFill patternType="solid">
        <fgColor rgb="FFFFE598"/>
        <bgColor rgb="FFFFE598"/>
      </patternFill>
    </fill>
    <fill>
      <patternFill patternType="solid">
        <fgColor rgb="FFF4B083"/>
        <bgColor rgb="FFF4B083"/>
      </patternFill>
    </fill>
    <fill>
      <patternFill patternType="solid">
        <fgColor rgb="FFFFE599"/>
        <bgColor rgb="FFFFE599"/>
      </patternFill>
    </fill>
    <fill>
      <patternFill patternType="solid">
        <fgColor rgb="FF9CC2E5"/>
        <bgColor rgb="FF9CC2E5"/>
      </patternFill>
    </fill>
    <fill>
      <patternFill patternType="solid">
        <fgColor rgb="FF2E75B5"/>
        <bgColor rgb="FF2E75B5"/>
      </patternFill>
    </fill>
    <fill>
      <patternFill patternType="solid">
        <fgColor rgb="FFD9D9D9"/>
        <bgColor rgb="FFD9D9D9"/>
      </patternFill>
    </fill>
    <fill>
      <patternFill patternType="solid">
        <fgColor rgb="FFECECEC"/>
        <bgColor rgb="FFECECEC"/>
      </patternFill>
    </fill>
    <fill>
      <patternFill patternType="solid">
        <fgColor rgb="FFB4C6E7"/>
        <bgColor rgb="FFB4C6E7"/>
      </patternFill>
    </fill>
    <fill>
      <patternFill patternType="solid">
        <fgColor rgb="FFFFD965"/>
        <bgColor rgb="FFFFD965"/>
      </patternFill>
    </fill>
    <fill>
      <patternFill patternType="solid">
        <fgColor rgb="FFCC99FF"/>
        <bgColor rgb="FFCC99FF"/>
      </patternFill>
    </fill>
    <fill>
      <patternFill patternType="solid">
        <fgColor rgb="FF6FA8DC"/>
        <bgColor rgb="FF6FA8DC"/>
      </patternFill>
    </fill>
    <fill>
      <patternFill patternType="solid">
        <fgColor rgb="FF9FC5E8"/>
        <bgColor rgb="FF9FC5E8"/>
      </patternFill>
    </fill>
    <fill>
      <patternFill patternType="solid">
        <fgColor rgb="FFCFE2F3"/>
        <bgColor rgb="FFCFE2F3"/>
      </patternFill>
    </fill>
    <fill>
      <patternFill patternType="solid">
        <fgColor theme="0"/>
        <bgColor theme="0"/>
      </patternFill>
    </fill>
    <fill>
      <patternFill patternType="solid">
        <fgColor rgb="FF93C47D"/>
        <bgColor rgb="FF93C47D"/>
      </patternFill>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FFFF00"/>
        <bgColor rgb="FFFFFF00"/>
      </patternFill>
    </fill>
  </fills>
  <borders count="54">
    <border/>
    <border>
      <left/>
      <top/>
      <bottom/>
    </border>
    <border>
      <top/>
      <bottom/>
    </border>
    <border>
      <right/>
      <top/>
      <bottom/>
    </border>
    <border>
      <left style="thin">
        <color rgb="FF000000"/>
      </left>
      <right style="thin">
        <color rgb="FF000000"/>
      </right>
      <top style="thin">
        <color rgb="FF000000"/>
      </top>
      <bottom style="thin">
        <color rgb="FF000000"/>
      </bottom>
    </border>
    <border>
      <left/>
      <right/>
      <top/>
    </border>
    <border>
      <left/>
      <right/>
    </border>
    <border>
      <left/>
      <right/>
      <bottom/>
    </border>
    <border>
      <left/>
      <top/>
    </border>
    <border>
      <top/>
    </border>
    <border>
      <right/>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ck">
        <color rgb="FF000000"/>
      </left>
      <right style="thin">
        <color rgb="FF000000"/>
      </right>
    </border>
    <border>
      <left style="thin">
        <color rgb="FF000000"/>
      </left>
      <right style="thin">
        <color rgb="FF000000"/>
      </right>
    </border>
    <border>
      <left style="thin">
        <color rgb="FF000000"/>
      </left>
      <right style="thick">
        <color rgb="FF000000"/>
      </right>
    </border>
    <border>
      <left style="thick">
        <color rgb="FF000000"/>
      </left>
      <right style="thick">
        <color rgb="FF000000"/>
      </right>
    </border>
    <border>
      <left style="thick">
        <color rgb="FF000000"/>
      </left>
      <right style="thick">
        <color rgb="FF000000"/>
      </right>
      <bottom style="thin">
        <color rgb="FF000000"/>
      </bottom>
    </border>
    <border>
      <left style="thick">
        <color rgb="FF000000"/>
      </left>
      <right style="thick">
        <color rgb="FF000000"/>
      </right>
      <top style="medium">
        <color rgb="FF000000"/>
      </top>
      <bottom style="thin">
        <color rgb="FF000000"/>
      </bottom>
    </border>
    <border>
      <left style="thick">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thick">
        <color rgb="FF000000"/>
      </right>
      <top style="medium">
        <color rgb="FF000000"/>
      </top>
      <bottom style="thin">
        <color rgb="FF000000"/>
      </bottom>
    </border>
    <border>
      <left style="thick">
        <color rgb="FF000000"/>
      </left>
      <right style="thick">
        <color rgb="FF000000"/>
      </right>
      <top style="medium">
        <color rgb="FF000000"/>
      </top>
      <bottom style="medium">
        <color rgb="FF000000"/>
      </bottom>
    </border>
    <border>
      <left style="thick">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ck">
        <color rgb="FF000000"/>
      </right>
      <top/>
      <bottom style="thin">
        <color rgb="FF000000"/>
      </bottom>
    </border>
    <border>
      <left style="thick">
        <color rgb="FF000000"/>
      </left>
      <right style="thick">
        <color rgb="FF000000"/>
      </right>
      <top style="medium">
        <color rgb="FF000000"/>
      </top>
    </border>
    <border>
      <left style="thick">
        <color rgb="FF000000"/>
      </left>
      <right style="thick">
        <color rgb="FF000000"/>
      </right>
      <bottom style="thick">
        <color rgb="FF000000"/>
      </bottom>
    </border>
    <border>
      <left style="thick">
        <color rgb="FF000000"/>
      </left>
      <right style="thick">
        <color rgb="FF000000"/>
      </right>
      <top style="thin">
        <color rgb="FF000000"/>
      </top>
      <bottom style="thick">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top style="thin">
        <color rgb="FF000000"/>
      </top>
    </border>
    <border>
      <left style="thick">
        <color rgb="FF000000"/>
      </left>
      <right style="thick">
        <color rgb="FF000000"/>
      </right>
      <top style="thick">
        <color rgb="FF000000"/>
      </top>
    </border>
    <border>
      <left style="thick">
        <color rgb="FF000000"/>
      </left>
      <right style="thick">
        <color rgb="FF000000"/>
      </right>
      <top style="thick">
        <color rgb="FF000000"/>
      </top>
      <bottom style="thin">
        <color rgb="FF000000"/>
      </bottom>
    </border>
  </borders>
  <cellStyleXfs count="1">
    <xf borderId="0" fillId="0" fontId="0" numFmtId="0" applyAlignment="1" applyFont="1"/>
  </cellStyleXfs>
  <cellXfs count="23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wrapText="1"/>
    </xf>
    <xf borderId="2" fillId="0" fontId="3" numFmtId="0" xfId="0" applyBorder="1" applyFont="1"/>
    <xf borderId="3" fillId="0" fontId="3" numFmtId="0" xfId="0" applyBorder="1" applyFont="1"/>
    <xf borderId="0" fillId="0" fontId="2" numFmtId="0" xfId="0" applyAlignment="1" applyFont="1">
      <alignment shrinkToFit="0" wrapText="1"/>
    </xf>
    <xf borderId="4" fillId="2" fontId="2" numFmtId="0" xfId="0" applyBorder="1" applyFont="1"/>
    <xf borderId="5" fillId="3" fontId="2" numFmtId="0" xfId="0" applyAlignment="1" applyBorder="1" applyFill="1" applyFont="1">
      <alignment horizontal="center" shrinkToFit="0" wrapText="1"/>
    </xf>
    <xf borderId="4" fillId="3" fontId="2" numFmtId="0" xfId="0" applyBorder="1" applyFont="1"/>
    <xf borderId="4" fillId="4" fontId="2" numFmtId="0" xfId="0" applyBorder="1" applyFill="1" applyFont="1"/>
    <xf borderId="4" fillId="0" fontId="2" numFmtId="0" xfId="0" applyBorder="1" applyFont="1"/>
    <xf borderId="6" fillId="0" fontId="3" numFmtId="0" xfId="0" applyBorder="1" applyFont="1"/>
    <xf borderId="7" fillId="0" fontId="3" numFmtId="0" xfId="0" applyBorder="1" applyFont="1"/>
    <xf borderId="0" fillId="0" fontId="2" numFmtId="0" xfId="0" applyFont="1"/>
    <xf borderId="8" fillId="5" fontId="1" numFmtId="0" xfId="0" applyAlignment="1" applyBorder="1" applyFill="1" applyFont="1">
      <alignment horizontal="center"/>
    </xf>
    <xf borderId="9" fillId="0" fontId="3" numFmtId="0" xfId="0" applyBorder="1" applyFont="1"/>
    <xf borderId="10" fillId="0" fontId="3" numFmtId="0" xfId="0" applyBorder="1" applyFont="1"/>
    <xf borderId="11" fillId="6" fontId="1" numFmtId="0" xfId="0" applyAlignment="1" applyBorder="1" applyFill="1" applyFont="1">
      <alignment horizontal="center"/>
    </xf>
    <xf borderId="12" fillId="0" fontId="3" numFmtId="0" xfId="0" applyBorder="1" applyFont="1"/>
    <xf borderId="13" fillId="0" fontId="3" numFmtId="0" xfId="0" applyBorder="1" applyFont="1"/>
    <xf borderId="11" fillId="0" fontId="1" numFmtId="0" xfId="0" applyAlignment="1" applyBorder="1" applyFont="1">
      <alignment horizontal="center"/>
    </xf>
    <xf borderId="14" fillId="3" fontId="1" numFmtId="0" xfId="0" applyAlignment="1" applyBorder="1" applyFont="1">
      <alignment shrinkToFit="0" wrapText="1"/>
    </xf>
    <xf borderId="14" fillId="7" fontId="1" numFmtId="0" xfId="0" applyAlignment="1" applyBorder="1" applyFill="1" applyFont="1">
      <alignment readingOrder="0" shrinkToFit="0" wrapText="1"/>
    </xf>
    <xf borderId="14" fillId="7" fontId="1" numFmtId="0" xfId="0" applyAlignment="1" applyBorder="1" applyFont="1">
      <alignment shrinkToFit="0" wrapText="1"/>
    </xf>
    <xf borderId="15" fillId="0" fontId="1" numFmtId="0" xfId="0" applyBorder="1" applyFont="1"/>
    <xf borderId="16" fillId="0" fontId="1" numFmtId="0" xfId="0" applyBorder="1" applyFont="1"/>
    <xf borderId="17" fillId="0" fontId="1" numFmtId="0" xfId="0" applyBorder="1" applyFont="1"/>
    <xf borderId="18" fillId="3" fontId="1" numFmtId="0" xfId="0" applyAlignment="1" applyBorder="1" applyFont="1">
      <alignment horizontal="center"/>
    </xf>
    <xf borderId="19" fillId="0" fontId="4" numFmtId="0" xfId="0" applyAlignment="1" applyBorder="1" applyFont="1">
      <alignment readingOrder="0" shrinkToFit="0" wrapText="1"/>
    </xf>
    <xf borderId="20" fillId="0" fontId="1" numFmtId="0" xfId="0" applyAlignment="1" applyBorder="1" applyFont="1">
      <alignment horizontal="center" readingOrder="0"/>
    </xf>
    <xf borderId="21" fillId="8" fontId="2" numFmtId="0" xfId="0" applyAlignment="1" applyBorder="1" applyFill="1" applyFont="1">
      <alignment horizontal="center" readingOrder="0" shrinkToFit="0" vertical="center" wrapText="1"/>
    </xf>
    <xf borderId="22" fillId="8" fontId="2" numFmtId="0" xfId="0" applyAlignment="1" applyBorder="1" applyFont="1">
      <alignment horizontal="center" readingOrder="0" shrinkToFit="0" vertical="center" wrapText="1"/>
    </xf>
    <xf borderId="23" fillId="8" fontId="2" numFmtId="0" xfId="0" applyAlignment="1" applyBorder="1" applyFont="1">
      <alignment horizontal="center" readingOrder="0" shrinkToFit="0" vertical="center" wrapText="1"/>
    </xf>
    <xf borderId="21" fillId="0" fontId="2" numFmtId="0" xfId="0" applyAlignment="1" applyBorder="1" applyFont="1">
      <alignment horizontal="center" readingOrder="0" shrinkToFit="0" vertical="center" wrapText="1"/>
    </xf>
    <xf borderId="22" fillId="0" fontId="2" numFmtId="0" xfId="0" applyAlignment="1" applyBorder="1" applyFont="1">
      <alignment horizontal="center" shrinkToFit="0" vertical="center" wrapText="1"/>
    </xf>
    <xf borderId="22" fillId="0" fontId="2" numFmtId="0" xfId="0" applyAlignment="1" applyBorder="1" applyFont="1">
      <alignment horizontal="center" readingOrder="0" shrinkToFit="0" vertical="center" wrapText="1"/>
    </xf>
    <xf borderId="23" fillId="0" fontId="2" numFmtId="0" xfId="0" applyAlignment="1" applyBorder="1" applyFont="1">
      <alignment horizontal="center" shrinkToFit="0" vertical="center" wrapText="1"/>
    </xf>
    <xf borderId="21" fillId="0" fontId="2" numFmtId="0" xfId="0" applyAlignment="1" applyBorder="1" applyFont="1">
      <alignment horizontal="center" shrinkToFit="0" vertical="center" wrapText="1"/>
    </xf>
    <xf borderId="24" fillId="9" fontId="1" numFmtId="0" xfId="0" applyAlignment="1" applyBorder="1" applyFill="1" applyFont="1">
      <alignment horizontal="center"/>
    </xf>
    <xf borderId="20" fillId="0" fontId="1" numFmtId="0" xfId="0" applyAlignment="1" applyBorder="1" applyFont="1">
      <alignment readingOrder="0"/>
    </xf>
    <xf borderId="25" fillId="0" fontId="2" numFmtId="0" xfId="0" applyAlignment="1" applyBorder="1" applyFont="1">
      <alignment horizontal="center" shrinkToFit="0" vertical="center" wrapText="1"/>
    </xf>
    <xf borderId="26" fillId="0" fontId="2" numFmtId="0" xfId="0" applyAlignment="1" applyBorder="1" applyFont="1">
      <alignment horizontal="center" shrinkToFit="0" vertical="center" wrapText="1"/>
    </xf>
    <xf borderId="27" fillId="0" fontId="2" numFmtId="0" xfId="0" applyAlignment="1" applyBorder="1" applyFont="1">
      <alignment horizontal="center" shrinkToFit="0" vertical="center" wrapText="1"/>
    </xf>
    <xf borderId="28" fillId="0" fontId="2" numFmtId="0" xfId="0" applyAlignment="1" applyBorder="1" applyFont="1">
      <alignment horizontal="center" shrinkToFit="0" vertical="center" wrapText="1"/>
    </xf>
    <xf borderId="29" fillId="10" fontId="1" numFmtId="0" xfId="0" applyAlignment="1" applyBorder="1" applyFill="1" applyFont="1">
      <alignment horizontal="center"/>
    </xf>
    <xf borderId="27" fillId="8" fontId="2" numFmtId="0" xfId="0" applyAlignment="1" applyBorder="1" applyFont="1">
      <alignment horizontal="center" readingOrder="0" shrinkToFit="0" vertical="center" wrapText="1"/>
    </xf>
    <xf borderId="30" fillId="0" fontId="3" numFmtId="0" xfId="0" applyBorder="1" applyFont="1"/>
    <xf borderId="31" fillId="11" fontId="1" numFmtId="0" xfId="0" applyAlignment="1" applyBorder="1" applyFill="1" applyFont="1">
      <alignment readingOrder="0"/>
    </xf>
    <xf borderId="31" fillId="11" fontId="1" numFmtId="0" xfId="0" applyAlignment="1" applyBorder="1" applyFont="1">
      <alignment horizontal="center" readingOrder="0"/>
    </xf>
    <xf borderId="32" fillId="8" fontId="2" numFmtId="0" xfId="0" applyAlignment="1" applyBorder="1" applyFont="1">
      <alignment horizontal="center" readingOrder="0" shrinkToFit="0" vertical="center" wrapText="1"/>
    </xf>
    <xf borderId="33" fillId="8" fontId="2" numFmtId="0" xfId="0" applyAlignment="1" applyBorder="1" applyFont="1">
      <alignment horizontal="center" readingOrder="0" shrinkToFit="0" vertical="center" wrapText="1"/>
    </xf>
    <xf borderId="34" fillId="8" fontId="2" numFmtId="0" xfId="0" applyAlignment="1" applyBorder="1" applyFont="1">
      <alignment horizontal="center" readingOrder="0" shrinkToFit="0" vertical="center" wrapText="1"/>
    </xf>
    <xf borderId="32" fillId="0" fontId="2" numFmtId="0" xfId="0" applyAlignment="1" applyBorder="1" applyFont="1">
      <alignment horizontal="center" shrinkToFit="0" vertical="center" wrapText="1"/>
    </xf>
    <xf borderId="33" fillId="0" fontId="2" numFmtId="0" xfId="0" applyAlignment="1" applyBorder="1" applyFont="1">
      <alignment horizontal="center" shrinkToFit="0" vertical="center" wrapText="1"/>
    </xf>
    <xf borderId="34" fillId="0" fontId="2" numFmtId="0" xfId="0" applyAlignment="1" applyBorder="1" applyFont="1">
      <alignment horizontal="center" shrinkToFit="0" vertical="center" wrapText="1"/>
    </xf>
    <xf borderId="0" fillId="0" fontId="2"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35" fillId="0" fontId="1" numFmtId="0" xfId="0" applyBorder="1" applyFont="1"/>
    <xf borderId="36" fillId="0" fontId="1" numFmtId="0" xfId="0" applyAlignment="1" applyBorder="1" applyFont="1">
      <alignment shrinkToFit="0" wrapText="1"/>
    </xf>
    <xf borderId="37" fillId="0" fontId="1" numFmtId="0" xfId="0" applyBorder="1" applyFont="1"/>
    <xf borderId="38" fillId="0" fontId="1" numFmtId="0" xfId="0" applyAlignment="1" applyBorder="1" applyFont="1">
      <alignment shrinkToFit="0" wrapText="1"/>
    </xf>
    <xf borderId="39" fillId="0" fontId="1" numFmtId="0" xfId="0" applyAlignment="1" applyBorder="1" applyFont="1">
      <alignment shrinkToFit="0" wrapText="1"/>
    </xf>
    <xf borderId="40" fillId="5" fontId="2" numFmtId="0" xfId="0" applyBorder="1" applyFont="1"/>
    <xf borderId="41" fillId="5" fontId="2" numFmtId="10" xfId="0" applyBorder="1" applyFont="1" applyNumberFormat="1"/>
    <xf borderId="42" fillId="5" fontId="2" numFmtId="0" xfId="0" applyBorder="1" applyFont="1"/>
    <xf borderId="43" fillId="5" fontId="2" numFmtId="10" xfId="0" applyBorder="1" applyFont="1" applyNumberFormat="1"/>
    <xf borderId="40" fillId="12" fontId="2" numFmtId="0" xfId="0" applyBorder="1" applyFill="1" applyFont="1"/>
    <xf borderId="41" fillId="12" fontId="2" numFmtId="10" xfId="0" applyBorder="1" applyFont="1" applyNumberFormat="1"/>
    <xf borderId="40" fillId="13" fontId="2" numFmtId="0" xfId="0" applyBorder="1" applyFill="1" applyFont="1"/>
    <xf borderId="41" fillId="13" fontId="2" numFmtId="10" xfId="0" applyBorder="1" applyFont="1" applyNumberFormat="1"/>
    <xf borderId="40" fillId="7" fontId="2" numFmtId="0" xfId="0" applyBorder="1" applyFont="1"/>
    <xf borderId="41" fillId="7" fontId="2" numFmtId="10" xfId="0" applyBorder="1" applyFont="1" applyNumberFormat="1"/>
    <xf borderId="40" fillId="14" fontId="2" numFmtId="0" xfId="0" applyBorder="1" applyFill="1" applyFont="1"/>
    <xf borderId="41" fillId="14" fontId="2" numFmtId="10" xfId="0" applyBorder="1" applyFont="1" applyNumberFormat="1"/>
    <xf borderId="40" fillId="15" fontId="2" numFmtId="0" xfId="0" applyBorder="1" applyFill="1" applyFont="1"/>
    <xf borderId="41" fillId="15" fontId="2" numFmtId="10" xfId="0" applyBorder="1" applyFont="1" applyNumberFormat="1"/>
    <xf borderId="44" fillId="0" fontId="1" numFmtId="0" xfId="0" applyAlignment="1" applyBorder="1" applyFont="1">
      <alignment shrinkToFit="0" wrapText="1"/>
    </xf>
    <xf borderId="45" fillId="0" fontId="1" numFmtId="9" xfId="0" applyBorder="1" applyFont="1" applyNumberFormat="1"/>
    <xf borderId="44" fillId="5" fontId="1" numFmtId="0" xfId="0" applyBorder="1" applyFont="1"/>
    <xf borderId="45" fillId="5" fontId="1" numFmtId="9" xfId="0" applyBorder="1" applyFont="1" applyNumberFormat="1"/>
    <xf borderId="45" fillId="5" fontId="1" numFmtId="10" xfId="0" applyBorder="1" applyFont="1" applyNumberFormat="1"/>
    <xf borderId="0" fillId="0" fontId="2" numFmtId="9" xfId="0" applyFont="1" applyNumberFormat="1"/>
    <xf borderId="35" fillId="12" fontId="2" numFmtId="0" xfId="0" applyBorder="1" applyFont="1"/>
    <xf borderId="36" fillId="12" fontId="2" numFmtId="10" xfId="0" applyBorder="1" applyFont="1" applyNumberFormat="1"/>
    <xf borderId="44" fillId="12" fontId="1" numFmtId="0" xfId="0" applyBorder="1" applyFont="1"/>
    <xf borderId="45" fillId="12" fontId="1" numFmtId="9" xfId="0" applyBorder="1" applyFont="1" applyNumberFormat="1"/>
    <xf borderId="45" fillId="12" fontId="1" numFmtId="10" xfId="0" applyBorder="1" applyFont="1" applyNumberFormat="1"/>
    <xf borderId="35" fillId="13" fontId="2" numFmtId="0" xfId="0" applyBorder="1" applyFont="1"/>
    <xf borderId="36" fillId="13" fontId="2" numFmtId="10" xfId="0" applyBorder="1" applyFont="1" applyNumberFormat="1"/>
    <xf borderId="44" fillId="13" fontId="1" numFmtId="0" xfId="0" applyBorder="1" applyFont="1"/>
    <xf borderId="45" fillId="13" fontId="1" numFmtId="9" xfId="0" applyBorder="1" applyFont="1" applyNumberFormat="1"/>
    <xf borderId="45" fillId="13" fontId="1" numFmtId="10" xfId="0" applyBorder="1" applyFont="1" applyNumberFormat="1"/>
    <xf borderId="35" fillId="7" fontId="2" numFmtId="0" xfId="0" applyBorder="1" applyFont="1"/>
    <xf borderId="36" fillId="7" fontId="2" numFmtId="10" xfId="0" applyBorder="1" applyFont="1" applyNumberFormat="1"/>
    <xf borderId="44" fillId="7" fontId="1" numFmtId="0" xfId="0" applyBorder="1" applyFont="1"/>
    <xf borderId="45" fillId="7" fontId="1" numFmtId="9" xfId="0" applyBorder="1" applyFont="1" applyNumberFormat="1"/>
    <xf borderId="45" fillId="7" fontId="1" numFmtId="10" xfId="0" applyBorder="1" applyFont="1" applyNumberFormat="1"/>
    <xf borderId="35" fillId="14" fontId="2" numFmtId="0" xfId="0" applyBorder="1" applyFont="1"/>
    <xf borderId="36" fillId="14" fontId="2" numFmtId="10" xfId="0" applyBorder="1" applyFont="1" applyNumberFormat="1"/>
    <xf borderId="44" fillId="14" fontId="1" numFmtId="0" xfId="0" applyBorder="1" applyFont="1"/>
    <xf borderId="45" fillId="14" fontId="1" numFmtId="9" xfId="0" applyBorder="1" applyFont="1" applyNumberFormat="1"/>
    <xf borderId="45" fillId="14" fontId="1" numFmtId="10" xfId="0" applyBorder="1" applyFont="1" applyNumberFormat="1"/>
    <xf borderId="35" fillId="15" fontId="2" numFmtId="0" xfId="0" applyBorder="1" applyFont="1"/>
    <xf borderId="36" fillId="15" fontId="2" numFmtId="10" xfId="0" applyBorder="1" applyFont="1" applyNumberFormat="1"/>
    <xf borderId="44" fillId="15" fontId="1" numFmtId="0" xfId="0" applyBorder="1" applyFont="1"/>
    <xf borderId="45" fillId="15" fontId="1" numFmtId="9" xfId="0" applyBorder="1" applyFont="1" applyNumberFormat="1"/>
    <xf borderId="0" fillId="0" fontId="1" numFmtId="0" xfId="0" applyAlignment="1" applyFont="1">
      <alignment shrinkToFit="0" vertical="center" wrapText="1"/>
    </xf>
    <xf borderId="0" fillId="0" fontId="6" numFmtId="0" xfId="0" applyAlignment="1" applyFont="1">
      <alignment shrinkToFit="0" vertical="center" wrapText="1"/>
    </xf>
    <xf borderId="0" fillId="0" fontId="1" numFmtId="0" xfId="0" applyAlignment="1" applyFont="1">
      <alignment horizontal="center" readingOrder="0" shrinkToFit="0" vertical="center" wrapText="1"/>
    </xf>
    <xf borderId="0" fillId="0" fontId="2" numFmtId="4" xfId="0" applyAlignment="1" applyFont="1" applyNumberFormat="1">
      <alignment horizontal="center" shrinkToFit="0" vertical="center" wrapText="1"/>
    </xf>
    <xf borderId="0" fillId="0" fontId="2" numFmtId="0" xfId="0" applyAlignment="1" applyFont="1">
      <alignment horizontal="center" shrinkToFit="0" vertical="center" wrapText="1"/>
    </xf>
    <xf borderId="1" fillId="16" fontId="2" numFmtId="0" xfId="0" applyAlignment="1" applyBorder="1" applyFill="1" applyFont="1">
      <alignment horizontal="center" shrinkToFit="0" vertical="center" wrapText="1"/>
    </xf>
    <xf borderId="4" fillId="16" fontId="1" numFmtId="0" xfId="0" applyAlignment="1" applyBorder="1" applyFont="1">
      <alignment horizontal="center" shrinkToFit="0" vertical="center" wrapText="1"/>
    </xf>
    <xf borderId="4" fillId="16" fontId="1" numFmtId="0" xfId="0" applyAlignment="1" applyBorder="1" applyFont="1">
      <alignment horizontal="center" readingOrder="0" shrinkToFit="0" vertical="center" wrapText="1"/>
    </xf>
    <xf borderId="46" fillId="16" fontId="2" numFmtId="0" xfId="0" applyAlignment="1" applyBorder="1" applyFont="1">
      <alignment shrinkToFit="0" vertical="center" wrapText="1"/>
    </xf>
    <xf borderId="46" fillId="16" fontId="2" numFmtId="0" xfId="0" applyAlignment="1" applyBorder="1" applyFont="1">
      <alignment readingOrder="0" shrinkToFit="0" vertical="center" wrapText="1"/>
    </xf>
    <xf borderId="5" fillId="16" fontId="2" numFmtId="0" xfId="0" applyAlignment="1" applyBorder="1" applyFont="1">
      <alignment readingOrder="0" shrinkToFit="0" vertical="center" wrapText="1"/>
    </xf>
    <xf borderId="5" fillId="16" fontId="2" numFmtId="0" xfId="0" applyAlignment="1" applyBorder="1" applyFont="1">
      <alignment shrinkToFit="0" vertical="center" wrapText="1"/>
    </xf>
    <xf borderId="0" fillId="0" fontId="2" numFmtId="0" xfId="0" applyAlignment="1" applyFont="1">
      <alignment shrinkToFit="0" vertical="center" wrapText="1"/>
    </xf>
    <xf borderId="4" fillId="17" fontId="2" numFmtId="0" xfId="0" applyAlignment="1" applyBorder="1" applyFill="1" applyFont="1">
      <alignment horizontal="center" shrinkToFit="0" vertical="center" wrapText="1"/>
    </xf>
    <xf borderId="4" fillId="18" fontId="2" numFmtId="10" xfId="0" applyAlignment="1" applyBorder="1" applyFill="1" applyFont="1" applyNumberFormat="1">
      <alignment horizontal="center" shrinkToFit="0" vertical="center" wrapText="1"/>
    </xf>
    <xf borderId="4" fillId="17" fontId="2" numFmtId="164" xfId="0" applyAlignment="1" applyBorder="1" applyFont="1" applyNumberFormat="1">
      <alignment shrinkToFit="0" vertical="center" wrapText="1"/>
    </xf>
    <xf borderId="4" fillId="17" fontId="2" numFmtId="10" xfId="0" applyAlignment="1" applyBorder="1" applyFont="1" applyNumberFormat="1">
      <alignment shrinkToFit="0" vertical="center" wrapText="1"/>
    </xf>
    <xf borderId="4" fillId="18" fontId="2" numFmtId="9" xfId="0" applyAlignment="1" applyBorder="1" applyFont="1" applyNumberFormat="1">
      <alignment readingOrder="0" shrinkToFit="0" vertical="center" wrapText="1"/>
    </xf>
    <xf borderId="47" fillId="18" fontId="2" numFmtId="165" xfId="0" applyAlignment="1" applyBorder="1" applyFont="1" applyNumberFormat="1">
      <alignment readingOrder="0" shrinkToFit="0" vertical="center" wrapText="1"/>
    </xf>
    <xf borderId="4" fillId="0" fontId="6" numFmtId="2" xfId="0" applyBorder="1" applyFont="1" applyNumberFormat="1"/>
    <xf borderId="48" fillId="18" fontId="2" numFmtId="165" xfId="0" applyAlignment="1" applyBorder="1" applyFont="1" applyNumberFormat="1">
      <alignment readingOrder="0" shrinkToFit="0" vertical="center" wrapText="1"/>
    </xf>
    <xf borderId="48" fillId="18" fontId="2" numFmtId="0" xfId="0" applyAlignment="1" applyBorder="1" applyFont="1">
      <alignment readingOrder="0" shrinkToFit="0" vertical="center" wrapText="1"/>
    </xf>
    <xf borderId="4" fillId="0" fontId="2" numFmtId="0" xfId="0" applyAlignment="1" applyBorder="1" applyFont="1">
      <alignment shrinkToFit="0" vertical="center" wrapText="1"/>
    </xf>
    <xf borderId="4" fillId="0" fontId="7" numFmtId="0" xfId="0" applyAlignment="1" applyBorder="1" applyFont="1">
      <alignment shrinkToFit="0" vertical="center" wrapText="1"/>
    </xf>
    <xf borderId="4" fillId="18" fontId="2" numFmtId="165" xfId="0" applyAlignment="1" applyBorder="1" applyFont="1" applyNumberFormat="1">
      <alignment readingOrder="0" shrinkToFit="0" vertical="center" wrapText="1"/>
    </xf>
    <xf borderId="4" fillId="18" fontId="2" numFmtId="0" xfId="0" applyAlignment="1" applyBorder="1" applyFont="1">
      <alignment readingOrder="0" shrinkToFit="0" vertical="center" wrapText="1"/>
    </xf>
    <xf borderId="4" fillId="5" fontId="2" numFmtId="0" xfId="0" applyAlignment="1" applyBorder="1" applyFont="1">
      <alignment readingOrder="0" shrinkToFit="0" vertical="center" wrapText="1"/>
    </xf>
    <xf borderId="4" fillId="18" fontId="2" numFmtId="10" xfId="0" applyAlignment="1" applyBorder="1" applyFont="1" applyNumberFormat="1">
      <alignment horizontal="center" readingOrder="0" shrinkToFit="0" vertical="center" wrapText="1"/>
    </xf>
    <xf borderId="4" fillId="18" fontId="2" numFmtId="0" xfId="0" applyAlignment="1" applyBorder="1" applyFont="1">
      <alignment horizontal="center" readingOrder="0" shrinkToFit="0" vertical="center" wrapText="1"/>
    </xf>
    <xf borderId="49" fillId="17" fontId="2" numFmtId="164" xfId="0" applyAlignment="1" applyBorder="1" applyFont="1" applyNumberFormat="1">
      <alignment shrinkToFit="0" vertical="center" wrapText="1"/>
    </xf>
    <xf borderId="50" fillId="18" fontId="2" numFmtId="10" xfId="0" applyAlignment="1" applyBorder="1" applyFont="1" applyNumberFormat="1">
      <alignment horizontal="center" readingOrder="0" shrinkToFit="0" vertical="center" wrapText="1"/>
    </xf>
    <xf borderId="4" fillId="0" fontId="1" numFmtId="0" xfId="0" applyAlignment="1" applyBorder="1" applyFont="1">
      <alignment horizontal="center" readingOrder="0" shrinkToFit="0" vertical="center" wrapText="1"/>
    </xf>
    <xf borderId="4" fillId="18" fontId="1" numFmtId="9" xfId="0" applyAlignment="1" applyBorder="1" applyFont="1" applyNumberFormat="1">
      <alignment horizontal="center" shrinkToFit="0" vertical="center" wrapText="1"/>
    </xf>
    <xf borderId="51" fillId="18" fontId="1" numFmtId="10" xfId="0" applyAlignment="1" applyBorder="1" applyFont="1" applyNumberFormat="1">
      <alignment horizontal="center" shrinkToFit="0" vertical="center" wrapText="1"/>
    </xf>
    <xf borderId="14" fillId="18" fontId="1" numFmtId="10" xfId="0" applyAlignment="1" applyBorder="1" applyFont="1" applyNumberFormat="1">
      <alignment horizontal="center" shrinkToFit="0" vertical="center" wrapText="1"/>
    </xf>
    <xf borderId="4" fillId="17" fontId="8" numFmtId="0" xfId="0" applyAlignment="1" applyBorder="1" applyFont="1">
      <alignment shrinkToFit="0" vertical="center" wrapText="1"/>
    </xf>
    <xf borderId="4" fillId="17" fontId="1" numFmtId="10" xfId="0" applyAlignment="1" applyBorder="1" applyFont="1" applyNumberFormat="1">
      <alignment shrinkToFit="0" vertical="center" wrapText="1"/>
    </xf>
    <xf borderId="0" fillId="0" fontId="1" numFmtId="10" xfId="0" applyAlignment="1" applyFont="1" applyNumberFormat="1">
      <alignment shrinkToFit="0" vertical="center" wrapText="1"/>
    </xf>
    <xf borderId="0" fillId="0" fontId="8" numFmtId="0" xfId="0" applyAlignment="1" applyFont="1">
      <alignment shrinkToFit="0" vertical="center" wrapText="1"/>
    </xf>
    <xf borderId="0" fillId="0" fontId="2" numFmtId="0" xfId="0" applyAlignment="1" applyFont="1">
      <alignment shrinkToFit="0" vertical="center" wrapText="1"/>
    </xf>
    <xf borderId="0" fillId="0" fontId="6" numFmtId="0" xfId="0" applyAlignment="1" applyFont="1">
      <alignment shrinkToFit="0" vertical="center" wrapText="1"/>
    </xf>
    <xf borderId="0" fillId="19" fontId="6" numFmtId="0" xfId="0" applyAlignment="1" applyFill="1" applyFont="1">
      <alignment shrinkToFit="0" vertical="center" wrapText="1"/>
    </xf>
    <xf borderId="26" fillId="18" fontId="2" numFmtId="4" xfId="0" applyAlignment="1" applyBorder="1" applyFont="1" applyNumberFormat="1">
      <alignment horizontal="center" readingOrder="0" shrinkToFit="0" vertical="center" wrapText="1"/>
    </xf>
    <xf borderId="0" fillId="19" fontId="2" numFmtId="0" xfId="0" applyAlignment="1" applyFont="1">
      <alignment horizontal="center" shrinkToFit="0" vertical="center" wrapText="1"/>
    </xf>
    <xf borderId="0" fillId="19" fontId="2" numFmtId="10" xfId="0" applyAlignment="1" applyFont="1" applyNumberFormat="1">
      <alignment horizontal="center" shrinkToFit="0" vertical="center" wrapText="1"/>
    </xf>
    <xf borderId="14" fillId="20" fontId="1" numFmtId="0" xfId="0" applyAlignment="1" applyBorder="1" applyFill="1" applyFont="1">
      <alignment horizontal="center" readingOrder="0" shrinkToFit="0" vertical="center" wrapText="1"/>
    </xf>
    <xf borderId="14" fillId="20" fontId="9" numFmtId="2" xfId="0" applyAlignment="1" applyBorder="1" applyFont="1" applyNumberFormat="1">
      <alignment horizontal="center" shrinkToFit="0" vertical="center" wrapText="1"/>
    </xf>
    <xf borderId="0" fillId="0" fontId="2" numFmtId="10" xfId="0" applyAlignment="1" applyFont="1" applyNumberFormat="1">
      <alignment horizontal="center" shrinkToFit="0" vertical="center" wrapText="1"/>
    </xf>
    <xf borderId="46" fillId="3" fontId="2" numFmtId="0" xfId="0" applyAlignment="1" applyBorder="1" applyFont="1">
      <alignment shrinkToFit="0" vertical="center" wrapText="1"/>
    </xf>
    <xf borderId="46" fillId="3" fontId="2" numFmtId="0" xfId="0" applyAlignment="1" applyBorder="1" applyFont="1">
      <alignment readingOrder="0" shrinkToFit="0" vertical="center" wrapText="1"/>
    </xf>
    <xf borderId="5" fillId="3" fontId="2" numFmtId="0" xfId="0" applyAlignment="1" applyBorder="1" applyFont="1">
      <alignment readingOrder="0" shrinkToFit="0" vertical="center" wrapText="1"/>
    </xf>
    <xf borderId="5" fillId="3" fontId="2" numFmtId="0" xfId="0" applyAlignment="1" applyBorder="1" applyFont="1">
      <alignment shrinkToFit="0" vertical="center" wrapText="1"/>
    </xf>
    <xf borderId="4" fillId="7" fontId="2" numFmtId="164" xfId="0" applyAlignment="1" applyBorder="1" applyFont="1" applyNumberFormat="1">
      <alignment shrinkToFit="0" vertical="center" wrapText="1"/>
    </xf>
    <xf borderId="4" fillId="7" fontId="2" numFmtId="10" xfId="0" applyAlignment="1" applyBorder="1" applyFont="1" applyNumberFormat="1">
      <alignment shrinkToFit="0" vertical="center" wrapText="1"/>
    </xf>
    <xf borderId="4" fillId="5" fontId="2" numFmtId="9" xfId="0" applyAlignment="1" applyBorder="1" applyFont="1" applyNumberFormat="1">
      <alignment readingOrder="0" shrinkToFit="0" vertical="center" wrapText="1"/>
    </xf>
    <xf borderId="4" fillId="5" fontId="2" numFmtId="165" xfId="0" applyAlignment="1" applyBorder="1" applyFont="1" applyNumberFormat="1">
      <alignment readingOrder="0" shrinkToFit="0" vertical="center" wrapText="1"/>
    </xf>
    <xf borderId="48" fillId="21" fontId="2" numFmtId="165" xfId="0" applyAlignment="1" applyBorder="1" applyFill="1" applyFont="1" applyNumberFormat="1">
      <alignment readingOrder="0" shrinkToFit="0" vertical="center" wrapText="1"/>
    </xf>
    <xf borderId="4" fillId="7" fontId="2" numFmtId="164" xfId="0" applyAlignment="1" applyBorder="1" applyFont="1" applyNumberFormat="1">
      <alignment readingOrder="0" shrinkToFit="0" vertical="center" wrapText="1"/>
    </xf>
    <xf borderId="0" fillId="0" fontId="1" numFmtId="0" xfId="0" applyAlignment="1" applyFont="1">
      <alignment horizontal="center" shrinkToFit="0" vertical="center" wrapText="1"/>
    </xf>
    <xf borderId="0" fillId="0" fontId="1" numFmtId="10" xfId="0" applyAlignment="1" applyFont="1" applyNumberFormat="1">
      <alignment horizontal="center" shrinkToFit="0" vertical="center" wrapText="1"/>
    </xf>
    <xf borderId="4" fillId="5" fontId="2" numFmtId="9" xfId="0" applyAlignment="1" applyBorder="1" applyFont="1" applyNumberFormat="1">
      <alignment shrinkToFit="0" vertical="center" wrapText="1"/>
    </xf>
    <xf borderId="0" fillId="19" fontId="1" numFmtId="10" xfId="0" applyAlignment="1" applyFont="1" applyNumberFormat="1">
      <alignment shrinkToFit="0" vertical="center" wrapText="1"/>
    </xf>
    <xf borderId="0" fillId="19" fontId="8" numFmtId="0" xfId="0" applyAlignment="1" applyFont="1">
      <alignment shrinkToFit="0" vertical="center" wrapText="1"/>
    </xf>
    <xf borderId="0" fillId="19" fontId="2" numFmtId="0" xfId="0" applyAlignment="1" applyFont="1">
      <alignment shrinkToFit="0" vertical="center" wrapText="1"/>
    </xf>
    <xf borderId="4" fillId="21" fontId="10" numFmtId="0" xfId="0" applyAlignment="1" applyBorder="1" applyFont="1">
      <alignment horizontal="center" shrinkToFit="0" vertical="center" wrapText="1"/>
    </xf>
    <xf borderId="47" fillId="21" fontId="10" numFmtId="0" xfId="0" applyAlignment="1" applyBorder="1" applyFont="1">
      <alignment horizontal="center" shrinkToFit="0" vertical="center" wrapText="1"/>
    </xf>
    <xf borderId="48" fillId="21" fontId="3" numFmtId="0" xfId="0" applyBorder="1" applyFont="1"/>
    <xf borderId="50" fillId="22" fontId="2" numFmtId="0" xfId="0" applyAlignment="1" applyBorder="1" applyFill="1" applyFont="1">
      <alignment horizontal="center" shrinkToFit="0" vertical="center" wrapText="1"/>
    </xf>
    <xf borderId="50" fillId="22" fontId="2" numFmtId="0" xfId="0" applyAlignment="1" applyBorder="1" applyFont="1">
      <alignment shrinkToFit="0" vertical="center" wrapText="1"/>
    </xf>
    <xf borderId="4" fillId="22" fontId="7" numFmtId="0" xfId="0" applyAlignment="1" applyBorder="1" applyFont="1">
      <alignment shrinkToFit="0" vertical="center" wrapText="1"/>
    </xf>
    <xf borderId="4" fillId="22" fontId="7" numFmtId="49" xfId="0" applyAlignment="1" applyBorder="1" applyFont="1" applyNumberFormat="1">
      <alignment shrinkToFit="0" vertical="center" wrapText="1"/>
    </xf>
    <xf borderId="0" fillId="0" fontId="8" numFmtId="0" xfId="0" applyAlignment="1" applyFont="1">
      <alignment readingOrder="0" shrinkToFit="0" vertical="center" wrapText="1"/>
    </xf>
    <xf borderId="16" fillId="23" fontId="3" numFmtId="0" xfId="0" applyBorder="1" applyFill="1" applyFont="1"/>
    <xf borderId="4" fillId="23" fontId="7" numFmtId="0" xfId="0" applyAlignment="1" applyBorder="1" applyFont="1">
      <alignment shrinkToFit="0" vertical="center" wrapText="1"/>
    </xf>
    <xf borderId="4" fillId="23" fontId="7" numFmtId="49" xfId="0" applyAlignment="1" applyBorder="1" applyFont="1" applyNumberFormat="1">
      <alignment shrinkToFit="0" vertical="center" wrapText="1"/>
    </xf>
    <xf borderId="16" fillId="22" fontId="3" numFmtId="0" xfId="0" applyBorder="1" applyFont="1"/>
    <xf borderId="4" fillId="22" fontId="7" numFmtId="0" xfId="0" applyAlignment="1" applyBorder="1" applyFont="1">
      <alignment readingOrder="0" shrinkToFit="0" vertical="center" wrapText="1"/>
    </xf>
    <xf borderId="4" fillId="23" fontId="7" numFmtId="49" xfId="0" applyAlignment="1" applyBorder="1" applyFont="1" applyNumberFormat="1">
      <alignment readingOrder="0" shrinkToFit="0" vertical="center" wrapText="1"/>
    </xf>
    <xf borderId="4" fillId="23" fontId="7" numFmtId="0" xfId="0" applyAlignment="1" applyBorder="1" applyFont="1">
      <alignment readingOrder="0" shrinkToFit="0" vertical="center" wrapText="1"/>
    </xf>
    <xf borderId="0" fillId="0" fontId="2" numFmtId="9" xfId="0" applyAlignment="1" applyFont="1" applyNumberFormat="1">
      <alignment shrinkToFit="0" vertical="center" wrapText="1"/>
    </xf>
    <xf borderId="0" fillId="0" fontId="2" numFmtId="10" xfId="0" applyAlignment="1" applyFont="1" applyNumberFormat="1">
      <alignment shrinkToFit="0" vertical="center" wrapText="1"/>
    </xf>
    <xf borderId="26" fillId="22" fontId="3" numFmtId="0" xfId="0" applyBorder="1" applyFont="1"/>
    <xf borderId="4" fillId="22" fontId="7" numFmtId="49" xfId="0" applyAlignment="1" applyBorder="1" applyFont="1" applyNumberFormat="1">
      <alignment readingOrder="0" shrinkToFit="0" vertical="center" wrapText="1"/>
    </xf>
    <xf borderId="4" fillId="23" fontId="2" numFmtId="0" xfId="0" applyAlignment="1" applyBorder="1" applyFont="1">
      <alignment horizontal="center" shrinkToFit="0" vertical="center" wrapText="1"/>
    </xf>
    <xf borderId="4" fillId="23" fontId="2" numFmtId="0" xfId="0" applyAlignment="1" applyBorder="1" applyFont="1">
      <alignment shrinkToFit="0" vertical="center" wrapText="1"/>
    </xf>
    <xf borderId="4" fillId="22" fontId="2" numFmtId="0" xfId="0" applyAlignment="1" applyBorder="1" applyFont="1">
      <alignment horizontal="center" shrinkToFit="0" vertical="center" wrapText="1"/>
    </xf>
    <xf borderId="4" fillId="22" fontId="2" numFmtId="0" xfId="0" applyAlignment="1" applyBorder="1" applyFont="1">
      <alignment shrinkToFit="0" vertical="center" wrapText="1"/>
    </xf>
    <xf borderId="0" fillId="0" fontId="1" numFmtId="9" xfId="0" applyAlignment="1" applyFont="1" applyNumberFormat="1">
      <alignment shrinkToFit="0" vertical="center" wrapText="1"/>
    </xf>
    <xf borderId="0" fillId="0" fontId="1" numFmtId="10" xfId="0" applyAlignment="1" applyFont="1" applyNumberFormat="1">
      <alignment shrinkToFit="0" vertical="center" wrapText="1"/>
    </xf>
    <xf borderId="0" fillId="0" fontId="7" numFmtId="0" xfId="0" applyAlignment="1" applyFont="1">
      <alignment horizontal="center" shrinkToFit="0" vertical="center" wrapText="1"/>
    </xf>
    <xf borderId="0" fillId="0" fontId="1" numFmtId="0" xfId="0" applyAlignment="1" applyFont="1">
      <alignment readingOrder="0" shrinkToFit="0" vertical="center" wrapText="1"/>
    </xf>
    <xf borderId="5" fillId="0" fontId="2" numFmtId="0" xfId="0" applyAlignment="1" applyBorder="1" applyFont="1">
      <alignment shrinkToFit="0" vertical="center" wrapText="1"/>
    </xf>
    <xf borderId="4" fillId="0" fontId="2" numFmtId="0" xfId="0" applyAlignment="1" applyBorder="1" applyFont="1">
      <alignment readingOrder="0" shrinkToFit="0" vertical="center" wrapText="1"/>
    </xf>
    <xf borderId="4" fillId="0" fontId="7" numFmtId="0" xfId="0" applyAlignment="1" applyBorder="1" applyFont="1">
      <alignment readingOrder="0" shrinkToFit="0" vertical="center" wrapText="1"/>
    </xf>
    <xf borderId="52" fillId="18" fontId="1" numFmtId="10" xfId="0" applyAlignment="1" applyBorder="1" applyFont="1" applyNumberFormat="1">
      <alignment horizontal="center" shrinkToFit="0" vertical="center" wrapText="1"/>
    </xf>
    <xf borderId="4" fillId="0" fontId="6" numFmtId="0" xfId="0" applyAlignment="1" applyBorder="1" applyFont="1">
      <alignment horizontal="center" readingOrder="0" shrinkToFit="0" vertical="center" wrapText="1"/>
    </xf>
    <xf borderId="47" fillId="16" fontId="1" numFmtId="10" xfId="0" applyAlignment="1" applyBorder="1" applyFont="1" applyNumberFormat="1">
      <alignment horizontal="center" readingOrder="0" shrinkToFit="0" vertical="center" wrapText="1"/>
    </xf>
    <xf borderId="31" fillId="0" fontId="9" numFmtId="10" xfId="0" applyAlignment="1" applyBorder="1" applyFont="1" applyNumberFormat="1">
      <alignment horizontal="center" shrinkToFit="0" vertical="center" wrapText="1"/>
    </xf>
    <xf borderId="4" fillId="0" fontId="2" numFmtId="0" xfId="0" applyAlignment="1" applyBorder="1" applyFont="1">
      <alignment horizontal="center" readingOrder="0" shrinkToFit="0" vertical="center" wrapText="1"/>
    </xf>
    <xf borderId="26" fillId="18" fontId="2" numFmtId="10" xfId="0" applyAlignment="1" applyBorder="1" applyFont="1" applyNumberFormat="1">
      <alignment horizontal="center" readingOrder="0" shrinkToFit="0" vertical="center" wrapText="1"/>
    </xf>
    <xf borderId="0" fillId="19" fontId="2" numFmtId="0" xfId="0" applyAlignment="1" applyFont="1">
      <alignment horizontal="center" shrinkToFit="0" vertical="center" wrapText="1"/>
    </xf>
    <xf borderId="0" fillId="19" fontId="2" numFmtId="10" xfId="0" applyAlignment="1" applyFont="1" applyNumberFormat="1">
      <alignment horizontal="center" shrinkToFit="0" vertical="center" wrapText="1"/>
    </xf>
    <xf borderId="4" fillId="24" fontId="10" numFmtId="0" xfId="0" applyAlignment="1" applyBorder="1" applyFill="1" applyFont="1">
      <alignment horizontal="center" shrinkToFit="0" vertical="center" wrapText="1"/>
    </xf>
    <xf borderId="51" fillId="24" fontId="10" numFmtId="0" xfId="0" applyAlignment="1" applyBorder="1" applyFont="1">
      <alignment horizontal="center" shrinkToFit="0" vertical="center" wrapText="1"/>
    </xf>
    <xf borderId="51" fillId="24" fontId="2" numFmtId="0" xfId="0" applyAlignment="1" applyBorder="1" applyFont="1">
      <alignment horizontal="center" shrinkToFit="0" vertical="center" wrapText="1"/>
    </xf>
    <xf borderId="4" fillId="24" fontId="2" numFmtId="0" xfId="0" applyAlignment="1" applyBorder="1" applyFont="1">
      <alignment horizontal="center" readingOrder="0" shrinkToFit="0" vertical="center" wrapText="1"/>
    </xf>
    <xf borderId="48" fillId="24" fontId="7" numFmtId="49" xfId="0" applyAlignment="1" applyBorder="1" applyFont="1" applyNumberFormat="1">
      <alignment readingOrder="0" shrinkToFit="0" vertical="center" wrapText="1"/>
    </xf>
    <xf borderId="4" fillId="0" fontId="6" numFmtId="0" xfId="0" applyAlignment="1" applyBorder="1" applyFont="1">
      <alignment readingOrder="0" shrinkToFit="0" wrapText="1"/>
    </xf>
    <xf borderId="4" fillId="24" fontId="2" numFmtId="0" xfId="0" applyAlignment="1" applyBorder="1" applyFont="1">
      <alignment horizontal="center" shrinkToFit="0" vertical="center" wrapText="1"/>
    </xf>
    <xf borderId="26" fillId="24" fontId="2" numFmtId="0" xfId="0" applyAlignment="1" applyBorder="1" applyFont="1">
      <alignment readingOrder="0" shrinkToFit="0" vertical="center" wrapText="1"/>
    </xf>
    <xf borderId="4" fillId="24" fontId="7" numFmtId="49" xfId="0" applyAlignment="1" applyBorder="1" applyFont="1" applyNumberFormat="1">
      <alignment readingOrder="0" shrinkToFit="0" vertical="center" wrapText="1"/>
    </xf>
    <xf borderId="4" fillId="24" fontId="7" numFmtId="0" xfId="0" applyAlignment="1" applyBorder="1" applyFont="1">
      <alignment readingOrder="0" shrinkToFit="0" vertical="center" wrapText="1"/>
    </xf>
    <xf borderId="4" fillId="24" fontId="2" numFmtId="0" xfId="0" applyAlignment="1" applyBorder="1" applyFont="1">
      <alignment readingOrder="0" shrinkToFit="0" vertical="center" wrapText="1"/>
    </xf>
    <xf borderId="0" fillId="0" fontId="6" numFmtId="0" xfId="0" applyAlignment="1" applyFont="1">
      <alignment readingOrder="0" shrinkToFit="0" vertical="center" wrapText="1"/>
    </xf>
    <xf borderId="4" fillId="0" fontId="6" numFmtId="0" xfId="0" applyAlignment="1" applyBorder="1" applyFont="1">
      <alignment readingOrder="0" vertical="center"/>
    </xf>
    <xf borderId="8" fillId="0" fontId="2" numFmtId="0" xfId="0" applyAlignment="1" applyBorder="1" applyFont="1">
      <alignment shrinkToFit="0" vertical="center" wrapText="1"/>
    </xf>
    <xf borderId="47" fillId="18" fontId="1" numFmtId="10" xfId="0" applyAlignment="1" applyBorder="1" applyFont="1" applyNumberFormat="1">
      <alignment horizontal="center" shrinkToFit="0" vertical="center" wrapText="1"/>
    </xf>
    <xf borderId="53" fillId="18" fontId="1" numFmtId="10" xfId="0" applyAlignment="1" applyBorder="1" applyFont="1" applyNumberFormat="1">
      <alignment horizontal="center" shrinkToFit="0" vertical="center" wrapText="1"/>
    </xf>
    <xf borderId="0" fillId="22" fontId="6" numFmtId="0" xfId="0" applyAlignment="1" applyFont="1">
      <alignment shrinkToFit="0" vertical="center" wrapText="1"/>
    </xf>
    <xf borderId="0" fillId="22" fontId="2" numFmtId="0" xfId="0" applyAlignment="1" applyFont="1">
      <alignment horizontal="center" shrinkToFit="0" vertical="center" wrapText="1"/>
    </xf>
    <xf borderId="0" fillId="22" fontId="2" numFmtId="0" xfId="0" applyAlignment="1" applyFont="1">
      <alignment horizontal="center" shrinkToFit="0" vertical="center" wrapText="1"/>
    </xf>
    <xf borderId="0" fillId="16" fontId="2" numFmtId="0" xfId="0" applyAlignment="1" applyFont="1">
      <alignment horizontal="center" shrinkToFit="0" vertical="center" wrapText="1"/>
    </xf>
    <xf borderId="7" fillId="3" fontId="2" numFmtId="0" xfId="0" applyAlignment="1" applyBorder="1" applyFont="1">
      <alignment shrinkToFit="0" vertical="center" wrapText="1"/>
    </xf>
    <xf borderId="6" fillId="3" fontId="2" numFmtId="0" xfId="0" applyAlignment="1" applyBorder="1" applyFont="1">
      <alignment shrinkToFit="0" vertical="center" wrapText="1"/>
    </xf>
    <xf borderId="0" fillId="0" fontId="6" numFmtId="0" xfId="0" applyAlignment="1" applyFont="1">
      <alignment readingOrder="0" shrinkToFit="0" wrapText="1"/>
    </xf>
    <xf borderId="0" fillId="0" fontId="6" numFmtId="0" xfId="0" applyAlignment="1" applyFont="1">
      <alignment readingOrder="0" vertical="center"/>
    </xf>
    <xf borderId="0" fillId="0" fontId="10" numFmtId="0" xfId="0" applyAlignment="1" applyFont="1">
      <alignment horizontal="center" shrinkToFit="0" vertical="center" wrapText="1"/>
    </xf>
    <xf borderId="0" fillId="0" fontId="7" numFmtId="49" xfId="0" applyAlignment="1" applyFont="1" applyNumberFormat="1">
      <alignment shrinkToFit="0" vertical="center" wrapText="1"/>
    </xf>
    <xf borderId="0" fillId="0" fontId="7" numFmtId="0" xfId="0" applyAlignment="1" applyFont="1">
      <alignment shrinkToFit="0" vertical="center" wrapText="1"/>
    </xf>
  </cellXfs>
  <cellStyles count="1">
    <cellStyle xfId="0" name="Normal" builtinId="0"/>
  </cellStyles>
  <dxfs count="8">
    <dxf>
      <font/>
      <fill>
        <patternFill patternType="none"/>
      </fill>
      <border/>
    </dxf>
    <dxf>
      <font/>
      <fill>
        <patternFill patternType="solid">
          <fgColor rgb="FF6AA84F"/>
          <bgColor rgb="FF6AA84F"/>
        </patternFill>
      </fill>
      <border/>
    </dxf>
    <dxf>
      <font/>
      <fill>
        <patternFill patternType="solid">
          <fgColor rgb="FFFFFFFF"/>
          <bgColor rgb="FFFFFFFF"/>
        </patternFill>
      </fill>
      <border/>
    </dxf>
    <dxf>
      <font/>
      <fill>
        <patternFill patternType="solid">
          <fgColor rgb="FFD9EAD3"/>
          <bgColor rgb="FFD9EAD3"/>
        </patternFill>
      </fill>
      <border/>
    </dxf>
    <dxf>
      <font/>
      <fill>
        <patternFill patternType="solid">
          <fgColor rgb="FF6FA8DC"/>
          <bgColor rgb="FF6FA8DC"/>
        </patternFill>
      </fill>
      <border/>
    </dxf>
    <dxf>
      <font/>
      <fill>
        <patternFill patternType="solid">
          <fgColor rgb="FFCFE2F3"/>
          <bgColor rgb="FFCFE2F3"/>
        </patternFill>
      </fill>
      <border/>
    </dxf>
    <dxf>
      <font/>
      <fill>
        <patternFill patternType="solid">
          <fgColor rgb="FFFFD966"/>
          <bgColor rgb="FFFFD966"/>
        </patternFill>
      </fill>
      <border/>
    </dxf>
    <dxf>
      <font/>
      <fill>
        <patternFill patternType="solid">
          <fgColor rgb="FFFFF2CC"/>
          <bgColor rgb="FFFFF2CC"/>
        </patternFill>
      </fill>
      <border/>
    </dxf>
  </dxfs>
  <tableStyles count="20">
    <tableStyle count="3" pivot="0" name="1ªEV-style">
      <tableStyleElement dxfId="1" type="headerRow"/>
      <tableStyleElement dxfId="2" type="firstRowStripe"/>
      <tableStyleElement dxfId="3" type="secondRowStripe"/>
    </tableStyle>
    <tableStyle count="3" pivot="0" name="1ªEV-style 2">
      <tableStyleElement dxfId="4" type="headerRow"/>
      <tableStyleElement dxfId="2" type="firstRowStripe"/>
      <tableStyleElement dxfId="5" type="secondRowStripe"/>
    </tableStyle>
    <tableStyle count="3" pivot="0" name="1ªEV-style 3">
      <tableStyleElement dxfId="4" type="headerRow"/>
      <tableStyleElement dxfId="2" type="firstRowStripe"/>
      <tableStyleElement dxfId="5" type="secondRowStripe"/>
    </tableStyle>
    <tableStyle count="3" pivot="0" name="1ªEV-style 4">
      <tableStyleElement dxfId="4" type="headerRow"/>
      <tableStyleElement dxfId="2" type="firstRowStripe"/>
      <tableStyleElement dxfId="5" type="secondRowStripe"/>
    </tableStyle>
    <tableStyle count="3" pivot="0" name="2ªEV-style">
      <tableStyleElement dxfId="1" type="headerRow"/>
      <tableStyleElement dxfId="2" type="firstRowStripe"/>
      <tableStyleElement dxfId="3" type="secondRowStripe"/>
    </tableStyle>
    <tableStyle count="3" pivot="0" name="2ªEV-style 2">
      <tableStyleElement dxfId="4" type="headerRow"/>
      <tableStyleElement dxfId="2" type="firstRowStripe"/>
      <tableStyleElement dxfId="5" type="secondRowStripe"/>
    </tableStyle>
    <tableStyle count="3" pivot="0" name="2ªEV-style 3">
      <tableStyleElement dxfId="4" type="headerRow"/>
      <tableStyleElement dxfId="2" type="firstRowStripe"/>
      <tableStyleElement dxfId="5" type="secondRowStripe"/>
    </tableStyle>
    <tableStyle count="3" pivot="0" name="2ªEV-style 4">
      <tableStyleElement dxfId="4" type="headerRow"/>
      <tableStyleElement dxfId="2" type="firstRowStripe"/>
      <tableStyleElement dxfId="5" type="secondRowStripe"/>
    </tableStyle>
    <tableStyle count="3" pivot="0" name="2ªEV-style 5">
      <tableStyleElement dxfId="4" type="headerRow"/>
      <tableStyleElement dxfId="2" type="firstRowStripe"/>
      <tableStyleElement dxfId="5" type="secondRowStripe"/>
    </tableStyle>
    <tableStyle count="3" pivot="0" name="2ªEV-style 6">
      <tableStyleElement dxfId="4" type="headerRow"/>
      <tableStyleElement dxfId="2" type="firstRowStripe"/>
      <tableStyleElement dxfId="5" type="secondRowStripe"/>
    </tableStyle>
    <tableStyle count="3" pivot="0" name="2ªEV-style 7">
      <tableStyleElement dxfId="6" type="headerRow"/>
      <tableStyleElement dxfId="2" type="firstRowStripe"/>
      <tableStyleElement dxfId="7" type="secondRowStripe"/>
    </tableStyle>
    <tableStyle count="3" pivot="0" name="EV FINAL-style">
      <tableStyleElement dxfId="1" type="headerRow"/>
      <tableStyleElement dxfId="2" type="firstRowStripe"/>
      <tableStyleElement dxfId="3" type="secondRowStripe"/>
    </tableStyle>
    <tableStyle count="3" pivot="0" name="EV FINAL-style 2">
      <tableStyleElement dxfId="4" type="headerRow"/>
      <tableStyleElement dxfId="2" type="firstRowStripe"/>
      <tableStyleElement dxfId="5" type="secondRowStripe"/>
    </tableStyle>
    <tableStyle count="3" pivot="0" name="EV FINAL-style 3">
      <tableStyleElement dxfId="4" type="headerRow"/>
      <tableStyleElement dxfId="2" type="firstRowStripe"/>
      <tableStyleElement dxfId="5" type="secondRowStripe"/>
    </tableStyle>
    <tableStyle count="3" pivot="0" name="EV FINAL-style 4">
      <tableStyleElement dxfId="4" type="headerRow"/>
      <tableStyleElement dxfId="2" type="firstRowStripe"/>
      <tableStyleElement dxfId="5" type="secondRowStripe"/>
    </tableStyle>
    <tableStyle count="3" pivot="0" name="EV FINAL-style 5">
      <tableStyleElement dxfId="4" type="headerRow"/>
      <tableStyleElement dxfId="2" type="firstRowStripe"/>
      <tableStyleElement dxfId="5" type="secondRowStripe"/>
    </tableStyle>
    <tableStyle count="3" pivot="0" name="EV FINAL-style 6">
      <tableStyleElement dxfId="4" type="headerRow"/>
      <tableStyleElement dxfId="2" type="firstRowStripe"/>
      <tableStyleElement dxfId="5" type="secondRowStripe"/>
    </tableStyle>
    <tableStyle count="2" pivot="0" name="EV FINAL-style 7">
      <tableStyleElement dxfId="2" type="firstRowStripe"/>
      <tableStyleElement dxfId="5" type="secondRowStripe"/>
    </tableStyle>
    <tableStyle count="3" pivot="0" name="EV FINAL-style 8">
      <tableStyleElement dxfId="4" type="headerRow"/>
      <tableStyleElement dxfId="2" type="firstRowStripe"/>
      <tableStyleElement dxfId="5" type="secondRowStripe"/>
    </tableStyle>
    <tableStyle count="3" pivot="0" name="EV FINAL-style 9">
      <tableStyleElement dxfId="6" type="headerRow"/>
      <tableStyleElement dxfId="2" type="firstRowStripe"/>
      <tableStyleElement dxfId="7"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14</xdr:row>
      <xdr:rowOff>0</xdr:rowOff>
    </xdr:from>
    <xdr:ext cx="1743075" cy="381000"/>
    <xdr:sp>
      <xdr:nvSpPr>
        <xdr:cNvPr id="3" name="Shape 3"/>
        <xdr:cNvSpPr txBox="1"/>
      </xdr:nvSpPr>
      <xdr:spPr>
        <a:xfrm>
          <a:off x="4474463" y="3589500"/>
          <a:ext cx="1743075" cy="381000"/>
        </a:xfrm>
        <a:prstGeom prst="rect">
          <a:avLst/>
        </a:prstGeom>
        <a:solidFill>
          <a:srgbClr val="0070C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100">
              <a:solidFill>
                <a:schemeClr val="lt1"/>
              </a:solidFill>
              <a:latin typeface="Calibri"/>
              <a:ea typeface="Calibri"/>
              <a:cs typeface="Calibri"/>
              <a:sym typeface="Calibri"/>
            </a:rPr>
            <a:t>ESTO SALE DEL DECRETO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R5:U14" displayName="Table_1" name="Table_1" id="1">
  <tableColumns count="4">
    <tableColumn name="COMPETENCIAS" id="1"/>
    <tableColumn name="PORCENTAJE DE NOTA DE LA MATERIA" id="2"/>
    <tableColumn name="PONDERACIÓN 1ª TRIMESTRE" id="3"/>
    <tableColumn name="% CONSEGUIDO 1º TRIMESTRE" id="4"/>
  </tableColumns>
  <tableStyleInfo name="1ªEV-style" showColumnStripes="0" showFirstColumn="1" showLastColumn="1" showRowStripes="1"/>
</table>
</file>

<file path=xl/tables/table2.xml><?xml version="1.0" encoding="utf-8"?>
<table xmlns="http://schemas.openxmlformats.org/spreadsheetml/2006/main" ref="A6:P13" displayName="Table_2" name="Table_2" id="2">
  <tableColumns count="16">
    <tableColumn name="CRIT EVAL" id="1"/>
    <tableColumn name="PONDERACIÓN DEL CURSO" id="2"/>
    <tableColumn name="PROGRESO" id="3"/>
    <tableColumn name="PONDERACIÓN 1ª TRIMESTRE" id="4"/>
    <tableColumn name="CONSEGUIDO" id="5"/>
    <tableColumn name="% CONSEGUIDO" id="6"/>
    <tableColumn name="EVIDENCIA A" id="7"/>
    <tableColumn name="EVIDENCIA B" id="8"/>
    <tableColumn name="EVIDENCIA C" id="9"/>
    <tableColumn name="EVIDENCIA D" id="10"/>
    <tableColumn name="EVIDENCIA E" id="11"/>
    <tableColumn name="EVIDENCIA F" id="12"/>
    <tableColumn name="EVIDENCIA G" id="13"/>
    <tableColumn name="EVIDENCIA H" id="14"/>
    <tableColumn name="EVIDENCIA I" id="15"/>
    <tableColumn name="EVIDENCIA J" id="16"/>
  </tableColumns>
  <tableStyleInfo name="1ªEV-style 2" showColumnStripes="0" showFirstColumn="1" showLastColumn="1" showRowStripes="1"/>
</table>
</file>

<file path=xl/tables/table3.xml><?xml version="1.0" encoding="utf-8"?>
<table xmlns="http://schemas.openxmlformats.org/spreadsheetml/2006/main" ref="A16:P21" displayName="Table_3" name="Table_3" id="3">
  <tableColumns count="16">
    <tableColumn name="CRIT EVAL" id="1"/>
    <tableColumn name="PONDERACIÓN DEL CURSO" id="2"/>
    <tableColumn name="PROGRESO" id="3"/>
    <tableColumn name="PONDERACIÓN 1ª TRIMESTRE"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 name="EVIDENCIA H" id="14"/>
    <tableColumn name="EVIDENCIA I" id="15"/>
    <tableColumn name="EVIDENCIA J" id="16"/>
  </tableColumns>
  <tableStyleInfo name="1ªEV-style 3" showColumnStripes="0" showFirstColumn="1" showLastColumn="1" showRowStripes="1"/>
</table>
</file>

<file path=xl/tables/table4.xml><?xml version="1.0" encoding="utf-8"?>
<table xmlns="http://schemas.openxmlformats.org/spreadsheetml/2006/main" ref="A24:P28" displayName="Table_4" name="Table_4" id="4">
  <tableColumns count="16">
    <tableColumn name="CRIT EVAL" id="1"/>
    <tableColumn name="PONDERACIÓN DEL CURSO" id="2"/>
    <tableColumn name="PROGRESO" id="3"/>
    <tableColumn name="PONDERACIÓN 1ª TRIMESTRE"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 name="EVIDENCIA H" id="14"/>
    <tableColumn name="EVIDENCIA I" id="15"/>
    <tableColumn name="EVIDENCIA J" id="16"/>
  </tableColumns>
  <tableStyleInfo name="1ªEV-style 4" showColumnStripes="0" showFirstColumn="1" showLastColumn="1" showRowStripes="1"/>
</table>
</file>

<file path=xl/tables/table5.xml><?xml version="1.0" encoding="utf-8"?>
<table xmlns="http://schemas.openxmlformats.org/spreadsheetml/2006/main" ref="N5:Q15" displayName="Table_5" name="Table_5" id="5">
  <tableColumns count="4">
    <tableColumn name="COMPETENCIAS" id="1"/>
    <tableColumn name="PORCENTAJE DE NOTA DE LA MATERIA" id="2"/>
    <tableColumn name="PONDERACIÓN 2ª EV" id="3"/>
    <tableColumn name="% CONSEGUIDO 2º TRIMESTRE" id="4"/>
  </tableColumns>
  <tableStyleInfo name="2ªEV-style" showColumnStripes="0" showFirstColumn="1" showLastColumn="1" showRowStripes="1"/>
</table>
</file>

<file path=xl/tables/table6.xml><?xml version="1.0" encoding="utf-8"?>
<table xmlns="http://schemas.openxmlformats.org/spreadsheetml/2006/main" ref="A6:L13" displayName="Table_6" name="Table_6" id="6">
  <tableColumns count="12">
    <tableColumn name="CRIT EVAL" id="1"/>
    <tableColumn name="PONDERACIÓN DEL CURSO" id="2"/>
    <tableColumn name="PROGRESO" id="3"/>
    <tableColumn name="PONDERACIÓN 2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s>
  <tableStyleInfo name="2ªEV-style 2" showColumnStripes="0" showFirstColumn="1" showLastColumn="1" showRowStripes="1"/>
</table>
</file>

<file path=xl/tables/table7.xml><?xml version="1.0" encoding="utf-8"?>
<table xmlns="http://schemas.openxmlformats.org/spreadsheetml/2006/main" ref="A16:L21" displayName="Table_7" name="Table_7" id="7">
  <tableColumns count="12">
    <tableColumn name="CRIT EVAL" id="1"/>
    <tableColumn name="PONDERACIÓN DEL CURSO" id="2"/>
    <tableColumn name="PROGRESO" id="3"/>
    <tableColumn name="PONDERACIÓN 2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s>
  <tableStyleInfo name="2ªEV-style 3" showColumnStripes="0" showFirstColumn="1" showLastColumn="1" showRowStripes="1"/>
</table>
</file>

<file path=xl/tables/table8.xml><?xml version="1.0" encoding="utf-8"?>
<table xmlns="http://schemas.openxmlformats.org/spreadsheetml/2006/main" ref="A24:L28" displayName="Table_8" name="Table_8" id="8">
  <tableColumns count="12">
    <tableColumn name="CRIT EVAL" id="1"/>
    <tableColumn name="PONDERACIÓN DEL CURSO" id="2"/>
    <tableColumn name="PROGRESO" id="3"/>
    <tableColumn name="PONDERACIÓN 2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s>
  <tableStyleInfo name="2ªEV-style 4" showColumnStripes="0" showFirstColumn="1" showLastColumn="1" showRowStripes="1"/>
</table>
</file>

<file path=xl/tables/table9.xml><?xml version="1.0" encoding="utf-8"?>
<table xmlns="http://schemas.openxmlformats.org/spreadsheetml/2006/main" ref="A31:L36" displayName="Table_9" name="Table_9" id="9">
  <tableColumns count="12">
    <tableColumn name="CRIT EVAL" id="1"/>
    <tableColumn name="PONDERACIÓN DEL CURSO" id="2"/>
    <tableColumn name="PROGRESO" id="3"/>
    <tableColumn name="PONDERACIÓN 2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s>
  <tableStyleInfo name="2ªEV-style 5" showColumnStripes="0" showFirstColumn="1" showLastColumn="1" showRowStripes="1"/>
</table>
</file>

<file path=xl/tables/table10.xml><?xml version="1.0" encoding="utf-8"?>
<table xmlns="http://schemas.openxmlformats.org/spreadsheetml/2006/main" ref="A39:L44" displayName="Table_10" name="Table_10" id="10">
  <tableColumns count="12">
    <tableColumn name="CRIT EVAL" id="1"/>
    <tableColumn name="PONDERACIÓN DEL CURSO" id="2"/>
    <tableColumn name="PROGRESO" id="3"/>
    <tableColumn name="PONDERACIÓN 2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s>
  <tableStyleInfo name="2ªEV-style 6" showColumnStripes="0" showFirstColumn="1" showLastColumn="1" showRowStripes="1"/>
</table>
</file>

<file path=xl/tables/table11.xml><?xml version="1.0" encoding="utf-8"?>
<table xmlns="http://schemas.openxmlformats.org/spreadsheetml/2006/main" ref="N44:Q50" displayName="Table_11" name="Table_11" id="11">
  <tableColumns count="4">
    <tableColumn name="EVIDENCIAS" id="1"/>
    <tableColumn name="TIPOS DE EVIDENCIAS" id="2"/>
    <tableColumn name="CEv relacionados" id="3"/>
    <tableColumn name="DESCRIPCIÓN" id="4"/>
  </tableColumns>
  <tableStyleInfo name="2ªEV-style 7" showColumnStripes="0" showFirstColumn="1" showLastColumn="1" showRowStripes="1"/>
</table>
</file>

<file path=xl/tables/table12.xml><?xml version="1.0" encoding="utf-8"?>
<table xmlns="http://schemas.openxmlformats.org/spreadsheetml/2006/main" ref="O5:R16" displayName="Table_12" name="Table_12" id="12">
  <tableColumns count="4">
    <tableColumn name="COMPETENCIAS" id="1"/>
    <tableColumn name="PORCENTAJE DE NOTA DE LA MATERIA" id="2"/>
    <tableColumn name="PONDERACIÓN 3ª EV" id="3"/>
    <tableColumn name="% CONSEGUIDO 3º TRIMESTRE" id="4"/>
  </tableColumns>
  <tableStyleInfo name="EV FINAL-style" showColumnStripes="0" showFirstColumn="1" showLastColumn="1" showRowStripes="1"/>
</table>
</file>

<file path=xl/tables/table13.xml><?xml version="1.0" encoding="utf-8"?>
<table xmlns="http://schemas.openxmlformats.org/spreadsheetml/2006/main" ref="A6:M13" displayName="Table_13" name="Table_13" id="13">
  <tableColumns count="13">
    <tableColumn name="CRIT EVAL" id="1"/>
    <tableColumn name="PONDERACIÓN DEL CURSO" id="2"/>
    <tableColumn name="PROGRESO" id="3"/>
    <tableColumn name="PONDERACIÓN 3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s>
  <tableStyleInfo name="EV FINAL-style 2" showColumnStripes="0" showFirstColumn="1" showLastColumn="1" showRowStripes="1"/>
</table>
</file>

<file path=xl/tables/table14.xml><?xml version="1.0" encoding="utf-8"?>
<table xmlns="http://schemas.openxmlformats.org/spreadsheetml/2006/main" ref="A16:M21" displayName="Table_14" name="Table_14" id="14">
  <tableColumns count="13">
    <tableColumn name="CRIT EVAL" id="1"/>
    <tableColumn name="PONDERACIÓN DEL CURSO" id="2"/>
    <tableColumn name="PROGRESO" id="3"/>
    <tableColumn name="PONDERACIÓN 3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s>
  <tableStyleInfo name="EV FINAL-style 3" showColumnStripes="0" showFirstColumn="1" showLastColumn="1" showRowStripes="1"/>
</table>
</file>

<file path=xl/tables/table15.xml><?xml version="1.0" encoding="utf-8"?>
<table xmlns="http://schemas.openxmlformats.org/spreadsheetml/2006/main" ref="A24:M28" displayName="Table_15" name="Table_15" id="15">
  <tableColumns count="13">
    <tableColumn name="CRIT EVAL" id="1"/>
    <tableColumn name="PONDERACIÓN DEL CURSO" id="2"/>
    <tableColumn name="PROGRESO" id="3"/>
    <tableColumn name="PONDERACIÓN 3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s>
  <tableStyleInfo name="EV FINAL-style 4" showColumnStripes="0" showFirstColumn="1" showLastColumn="1" showRowStripes="1"/>
</table>
</file>

<file path=xl/tables/table16.xml><?xml version="1.0" encoding="utf-8"?>
<table xmlns="http://schemas.openxmlformats.org/spreadsheetml/2006/main" ref="A31:M36" displayName="Table_16" name="Table_16" id="16">
  <tableColumns count="13">
    <tableColumn name="CRIT EVAL" id="1"/>
    <tableColumn name="PONDERACIÓN DEL CURSO" id="2"/>
    <tableColumn name="PROGRESO" id="3"/>
    <tableColumn name="PONDERACIÓN 3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s>
  <tableStyleInfo name="EV FINAL-style 5" showColumnStripes="0" showFirstColumn="1" showLastColumn="1" showRowStripes="1"/>
</table>
</file>

<file path=xl/tables/table17.xml><?xml version="1.0" encoding="utf-8"?>
<table xmlns="http://schemas.openxmlformats.org/spreadsheetml/2006/main" ref="A39:M44" displayName="Table_17" name="Table_17" id="17">
  <tableColumns count="13">
    <tableColumn name="CRIT EVAL" id="1"/>
    <tableColumn name="PONDERACIÓN DEL CURSO" id="2"/>
    <tableColumn name="PROGRESO" id="3"/>
    <tableColumn name="PONDERACIÓN 3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s>
  <tableStyleInfo name="EV FINAL-style 6" showColumnStripes="0" showFirstColumn="1" showLastColumn="1" showRowStripes="1"/>
</table>
</file>

<file path=xl/tables/table18.xml><?xml version="1.0" encoding="utf-8"?>
<table xmlns="http://schemas.openxmlformats.org/spreadsheetml/2006/main" headerRowCount="0" ref="A45:F45" displayName="Table_18" name="Table_18" id="18">
  <tableColumns count="6">
    <tableColumn name="Column1" id="1"/>
    <tableColumn name="Column2" id="2"/>
    <tableColumn name="Column3" id="3"/>
    <tableColumn name="Column4" id="4"/>
    <tableColumn name="Column5" id="5"/>
    <tableColumn name="Column6" id="6"/>
  </tableColumns>
  <tableStyleInfo name="EV FINAL-style 7" showColumnStripes="0" showFirstColumn="1" showLastColumn="1" showRowStripes="1"/>
</table>
</file>

<file path=xl/tables/table19.xml><?xml version="1.0" encoding="utf-8"?>
<table xmlns="http://schemas.openxmlformats.org/spreadsheetml/2006/main" ref="A48:M53" displayName="Table_19" name="Table_19" id="19">
  <tableColumns count="13">
    <tableColumn name="CRIT EVAL" id="1"/>
    <tableColumn name="PONDERACIÓN DEL CURSO" id="2"/>
    <tableColumn name="PROGRESO" id="3"/>
    <tableColumn name="PONDERACIÓN 3ª EV" id="4"/>
    <tableColumn name="CONSEGUIDO " id="5"/>
    <tableColumn name="% CONSEGUIDO" id="6"/>
    <tableColumn name="EVIDENCIA A" id="7"/>
    <tableColumn name="EVIDENCIA B" id="8"/>
    <tableColumn name="EVIDENCIA C" id="9"/>
    <tableColumn name="EVIDENCIA D" id="10"/>
    <tableColumn name="EVIDENCIA E" id="11"/>
    <tableColumn name="EVIDENCIA F" id="12"/>
    <tableColumn name="EVIDENCIA G" id="13"/>
  </tableColumns>
  <tableStyleInfo name="EV FINAL-style 8" showColumnStripes="0" showFirstColumn="1" showLastColumn="1" showRowStripes="1"/>
</table>
</file>

<file path=xl/tables/table20.xml><?xml version="1.0" encoding="utf-8"?>
<table xmlns="http://schemas.openxmlformats.org/spreadsheetml/2006/main" ref="O53:R60" displayName="Table_20" name="Table_20" id="20">
  <tableColumns count="4">
    <tableColumn name="EVIDENCIAS" id="1"/>
    <tableColumn name="TIPOS DE EVIDENCIAS" id="2"/>
    <tableColumn name="CEv relacionados" id="3"/>
    <tableColumn name="DESCRIPCIÓN" id="4"/>
  </tableColumns>
  <tableStyleInfo name="EV FINAL-style 9"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9" Type="http://schemas.openxmlformats.org/officeDocument/2006/relationships/table" Target="../tables/table4.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7.xml"/><Relationship Id="rId10" Type="http://schemas.openxmlformats.org/officeDocument/2006/relationships/table" Target="../tables/table6.xml"/><Relationship Id="rId13" Type="http://schemas.openxmlformats.org/officeDocument/2006/relationships/table" Target="../tables/table9.xml"/><Relationship Id="rId12" Type="http://schemas.openxmlformats.org/officeDocument/2006/relationships/table" Target="../tables/table8.xml"/><Relationship Id="rId9" Type="http://schemas.openxmlformats.org/officeDocument/2006/relationships/table" Target="../tables/table5.xml"/><Relationship Id="rId15" Type="http://schemas.openxmlformats.org/officeDocument/2006/relationships/table" Target="../tables/table11.xml"/><Relationship Id="rId14" Type="http://schemas.openxmlformats.org/officeDocument/2006/relationships/table" Target="../tables/table10.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2.xml"/><Relationship Id="rId13" Type="http://schemas.openxmlformats.org/officeDocument/2006/relationships/table" Target="../tables/table14.xml"/><Relationship Id="rId12" Type="http://schemas.openxmlformats.org/officeDocument/2006/relationships/table" Target="../tables/table13.xml"/><Relationship Id="rId15" Type="http://schemas.openxmlformats.org/officeDocument/2006/relationships/table" Target="../tables/table16.xml"/><Relationship Id="rId14" Type="http://schemas.openxmlformats.org/officeDocument/2006/relationships/table" Target="../tables/table15.xml"/><Relationship Id="rId17" Type="http://schemas.openxmlformats.org/officeDocument/2006/relationships/table" Target="../tables/table18.xml"/><Relationship Id="rId16" Type="http://schemas.openxmlformats.org/officeDocument/2006/relationships/table" Target="../tables/table17.xml"/><Relationship Id="rId19" Type="http://schemas.openxmlformats.org/officeDocument/2006/relationships/table" Target="../tables/table20.xml"/><Relationship Id="rId18"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86"/>
    <col customWidth="1" min="2" max="2" width="20.57"/>
    <col customWidth="1" min="3" max="26" width="10.71"/>
  </cols>
  <sheetData>
    <row r="1" ht="30.0" customHeight="1">
      <c r="A1" s="1" t="s">
        <v>0</v>
      </c>
      <c r="C1" s="2" t="s">
        <v>1</v>
      </c>
      <c r="D1" s="3"/>
      <c r="E1" s="3"/>
      <c r="F1" s="3"/>
      <c r="G1" s="3"/>
      <c r="H1" s="3"/>
      <c r="I1" s="3"/>
      <c r="J1" s="4"/>
    </row>
    <row r="2">
      <c r="B2" s="5"/>
      <c r="C2" s="6">
        <v>1.0</v>
      </c>
      <c r="D2" s="6">
        <v>2.0</v>
      </c>
      <c r="E2" s="6">
        <v>3.0</v>
      </c>
      <c r="F2" s="6">
        <v>4.0</v>
      </c>
      <c r="G2" s="6">
        <v>5.0</v>
      </c>
      <c r="H2" s="6">
        <v>6.0</v>
      </c>
      <c r="I2" s="6">
        <v>7.0</v>
      </c>
      <c r="J2" s="6">
        <v>8.0</v>
      </c>
    </row>
    <row r="3" ht="30.0" customHeight="1">
      <c r="A3" s="7" t="s">
        <v>2</v>
      </c>
      <c r="B3" s="8">
        <v>1.0</v>
      </c>
      <c r="C3" s="9" t="s">
        <v>3</v>
      </c>
      <c r="D3" s="9" t="s">
        <v>3</v>
      </c>
      <c r="E3" s="9" t="s">
        <v>3</v>
      </c>
      <c r="F3" s="9" t="s">
        <v>3</v>
      </c>
      <c r="G3" s="10"/>
      <c r="H3" s="10"/>
      <c r="I3" s="10"/>
      <c r="J3" s="10"/>
    </row>
    <row r="4">
      <c r="A4" s="11"/>
      <c r="B4" s="8">
        <v>2.0</v>
      </c>
      <c r="C4" s="10"/>
      <c r="D4" s="9" t="s">
        <v>3</v>
      </c>
      <c r="E4" s="10"/>
      <c r="F4" s="10"/>
      <c r="G4" s="10"/>
      <c r="H4" s="10"/>
      <c r="I4" s="10"/>
      <c r="J4" s="9" t="s">
        <v>3</v>
      </c>
    </row>
    <row r="5">
      <c r="A5" s="11"/>
      <c r="B5" s="8">
        <v>3.0</v>
      </c>
      <c r="C5" s="9" t="s">
        <v>3</v>
      </c>
      <c r="D5" s="9" t="s">
        <v>3</v>
      </c>
      <c r="E5" s="9" t="s">
        <v>3</v>
      </c>
      <c r="F5" s="9" t="s">
        <v>3</v>
      </c>
      <c r="G5" s="10"/>
      <c r="H5" s="9" t="s">
        <v>3</v>
      </c>
      <c r="I5" s="9" t="s">
        <v>3</v>
      </c>
      <c r="J5" s="9" t="s">
        <v>3</v>
      </c>
    </row>
    <row r="6">
      <c r="A6" s="11"/>
      <c r="B6" s="8">
        <v>4.0</v>
      </c>
      <c r="C6" s="9" t="s">
        <v>3</v>
      </c>
      <c r="D6" s="10"/>
      <c r="E6" s="9" t="s">
        <v>3</v>
      </c>
      <c r="F6" s="9" t="s">
        <v>3</v>
      </c>
      <c r="G6" s="9" t="s">
        <v>3</v>
      </c>
      <c r="H6" s="10"/>
      <c r="I6" s="10"/>
      <c r="J6" s="10"/>
    </row>
    <row r="7">
      <c r="A7" s="11"/>
      <c r="B7" s="8">
        <v>5.0</v>
      </c>
      <c r="C7" s="10"/>
      <c r="D7" s="10"/>
      <c r="E7" s="10"/>
      <c r="F7" s="10"/>
      <c r="G7" s="10"/>
      <c r="H7" s="9" t="s">
        <v>3</v>
      </c>
      <c r="I7" s="9" t="s">
        <v>3</v>
      </c>
      <c r="J7" s="10"/>
    </row>
    <row r="8">
      <c r="A8" s="12"/>
      <c r="B8" s="8">
        <v>6.0</v>
      </c>
      <c r="C8" s="9" t="s">
        <v>3</v>
      </c>
      <c r="D8" s="10"/>
      <c r="E8" s="10"/>
      <c r="F8" s="9" t="s">
        <v>3</v>
      </c>
      <c r="G8" s="10"/>
      <c r="H8" s="10"/>
      <c r="I8" s="10"/>
      <c r="J8" s="9" t="s">
        <v>3</v>
      </c>
    </row>
    <row r="12">
      <c r="B12"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1:J1"/>
    <mergeCell ref="A3:A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71"/>
    <col customWidth="1" min="2" max="3" width="26.14"/>
    <col customWidth="1" min="4" max="4" width="10.71"/>
    <col customWidth="1" min="5" max="5" width="15.71"/>
    <col customWidth="1" min="6" max="29" width="10.71"/>
  </cols>
  <sheetData>
    <row r="1">
      <c r="D1" s="14" t="s">
        <v>4</v>
      </c>
      <c r="E1" s="15"/>
      <c r="F1" s="15"/>
      <c r="G1" s="15"/>
      <c r="H1" s="15"/>
      <c r="I1" s="15"/>
      <c r="J1" s="15"/>
      <c r="K1" s="15"/>
      <c r="L1" s="15"/>
      <c r="M1" s="15"/>
      <c r="N1" s="15"/>
      <c r="O1" s="15"/>
      <c r="P1" s="15"/>
      <c r="Q1" s="15"/>
      <c r="R1" s="15"/>
      <c r="S1" s="15"/>
      <c r="T1" s="15"/>
      <c r="U1" s="15"/>
      <c r="V1" s="15"/>
      <c r="W1" s="15"/>
      <c r="X1" s="15"/>
      <c r="Y1" s="15"/>
      <c r="Z1" s="15"/>
      <c r="AA1" s="15"/>
      <c r="AB1" s="15"/>
      <c r="AC1" s="16"/>
    </row>
    <row r="2" ht="29.25" customHeight="1">
      <c r="A2" s="1"/>
      <c r="B2" s="1"/>
      <c r="C2" s="1"/>
      <c r="D2" s="17" t="s">
        <v>5</v>
      </c>
      <c r="E2" s="18"/>
      <c r="F2" s="18"/>
      <c r="G2" s="18"/>
      <c r="H2" s="18"/>
      <c r="I2" s="19"/>
      <c r="J2" s="20" t="s">
        <v>6</v>
      </c>
      <c r="K2" s="18"/>
      <c r="L2" s="18"/>
      <c r="M2" s="19"/>
      <c r="N2" s="17" t="s">
        <v>7</v>
      </c>
      <c r="O2" s="18"/>
      <c r="P2" s="19"/>
      <c r="Q2" s="20" t="s">
        <v>8</v>
      </c>
      <c r="R2" s="18"/>
      <c r="S2" s="18"/>
      <c r="T2" s="19"/>
      <c r="U2" s="17" t="s">
        <v>9</v>
      </c>
      <c r="V2" s="18"/>
      <c r="W2" s="18"/>
      <c r="X2" s="18"/>
      <c r="Y2" s="19"/>
      <c r="Z2" s="20" t="s">
        <v>10</v>
      </c>
      <c r="AA2" s="18"/>
      <c r="AB2" s="18"/>
      <c r="AC2" s="19"/>
    </row>
    <row r="3" ht="29.25" customHeight="1">
      <c r="A3" s="21" t="s">
        <v>11</v>
      </c>
      <c r="B3" s="22" t="s">
        <v>12</v>
      </c>
      <c r="C3" s="23" t="s">
        <v>13</v>
      </c>
      <c r="D3" s="24" t="s">
        <v>14</v>
      </c>
      <c r="E3" s="25" t="s">
        <v>15</v>
      </c>
      <c r="F3" s="25" t="s">
        <v>16</v>
      </c>
      <c r="G3" s="25" t="s">
        <v>17</v>
      </c>
      <c r="H3" s="25" t="s">
        <v>18</v>
      </c>
      <c r="I3" s="26" t="s">
        <v>19</v>
      </c>
      <c r="J3" s="24" t="s">
        <v>20</v>
      </c>
      <c r="K3" s="25" t="s">
        <v>21</v>
      </c>
      <c r="L3" s="25" t="s">
        <v>22</v>
      </c>
      <c r="M3" s="26" t="s">
        <v>23</v>
      </c>
      <c r="N3" s="24" t="s">
        <v>24</v>
      </c>
      <c r="O3" s="25" t="s">
        <v>25</v>
      </c>
      <c r="P3" s="26" t="s">
        <v>26</v>
      </c>
      <c r="Q3" s="24" t="s">
        <v>27</v>
      </c>
      <c r="R3" s="25" t="s">
        <v>28</v>
      </c>
      <c r="S3" s="25" t="s">
        <v>29</v>
      </c>
      <c r="T3" s="26" t="s">
        <v>30</v>
      </c>
      <c r="U3" s="24" t="s">
        <v>31</v>
      </c>
      <c r="V3" s="25" t="s">
        <v>32</v>
      </c>
      <c r="W3" s="25" t="s">
        <v>33</v>
      </c>
      <c r="X3" s="25" t="s">
        <v>34</v>
      </c>
      <c r="Y3" s="26" t="s">
        <v>35</v>
      </c>
      <c r="Z3" s="24" t="s">
        <v>36</v>
      </c>
      <c r="AA3" s="25" t="s">
        <v>37</v>
      </c>
      <c r="AB3" s="25" t="s">
        <v>38</v>
      </c>
      <c r="AC3" s="26" t="s">
        <v>39</v>
      </c>
    </row>
    <row r="4">
      <c r="A4" s="27">
        <v>1.0</v>
      </c>
      <c r="B4" s="28" t="s">
        <v>40</v>
      </c>
      <c r="C4" s="29" t="s">
        <v>41</v>
      </c>
      <c r="D4" s="30" t="s">
        <v>3</v>
      </c>
      <c r="E4" s="31" t="s">
        <v>3</v>
      </c>
      <c r="F4" s="31" t="s">
        <v>3</v>
      </c>
      <c r="G4" s="31" t="s">
        <v>3</v>
      </c>
      <c r="H4" s="31" t="s">
        <v>3</v>
      </c>
      <c r="I4" s="32" t="s">
        <v>3</v>
      </c>
      <c r="J4" s="30" t="s">
        <v>3</v>
      </c>
      <c r="K4" s="31" t="s">
        <v>3</v>
      </c>
      <c r="L4" s="31" t="s">
        <v>3</v>
      </c>
      <c r="M4" s="32" t="s">
        <v>3</v>
      </c>
      <c r="N4" s="30" t="s">
        <v>3</v>
      </c>
      <c r="O4" s="31" t="s">
        <v>3</v>
      </c>
      <c r="P4" s="32" t="s">
        <v>3</v>
      </c>
      <c r="Q4" s="33"/>
      <c r="R4" s="34"/>
      <c r="S4" s="35"/>
      <c r="T4" s="36"/>
      <c r="U4" s="37"/>
      <c r="V4" s="34"/>
      <c r="W4" s="34"/>
      <c r="X4" s="34"/>
      <c r="Y4" s="36"/>
      <c r="Z4" s="37"/>
      <c r="AA4" s="34"/>
      <c r="AB4" s="34"/>
      <c r="AC4" s="36"/>
    </row>
    <row r="5">
      <c r="A5" s="38">
        <v>2.0</v>
      </c>
      <c r="B5" s="39" t="s">
        <v>42</v>
      </c>
      <c r="C5" s="29" t="s">
        <v>41</v>
      </c>
      <c r="D5" s="30" t="s">
        <v>3</v>
      </c>
      <c r="E5" s="31" t="s">
        <v>3</v>
      </c>
      <c r="F5" s="31" t="s">
        <v>3</v>
      </c>
      <c r="G5" s="31" t="s">
        <v>3</v>
      </c>
      <c r="H5" s="34"/>
      <c r="I5" s="32" t="s">
        <v>3</v>
      </c>
      <c r="J5" s="37"/>
      <c r="K5" s="31" t="s">
        <v>3</v>
      </c>
      <c r="L5" s="34"/>
      <c r="M5" s="36"/>
      <c r="N5" s="30" t="s">
        <v>3</v>
      </c>
      <c r="O5" s="35"/>
      <c r="P5" s="32" t="s">
        <v>3</v>
      </c>
      <c r="Q5" s="30" t="s">
        <v>3</v>
      </c>
      <c r="R5" s="34"/>
      <c r="S5" s="34"/>
      <c r="T5" s="32" t="s">
        <v>3</v>
      </c>
      <c r="U5" s="40"/>
      <c r="V5" s="41"/>
      <c r="W5" s="42"/>
      <c r="X5" s="42"/>
      <c r="Y5" s="43"/>
      <c r="Z5" s="37"/>
      <c r="AA5" s="34"/>
      <c r="AB5" s="34"/>
      <c r="AC5" s="32" t="s">
        <v>3</v>
      </c>
    </row>
    <row r="6">
      <c r="A6" s="44">
        <v>3.0</v>
      </c>
      <c r="B6" s="39" t="s">
        <v>43</v>
      </c>
      <c r="C6" s="29" t="s">
        <v>44</v>
      </c>
      <c r="D6" s="30" t="s">
        <v>3</v>
      </c>
      <c r="E6" s="31" t="s">
        <v>3</v>
      </c>
      <c r="F6" s="31" t="s">
        <v>3</v>
      </c>
      <c r="G6" s="31" t="s">
        <v>3</v>
      </c>
      <c r="H6" s="34"/>
      <c r="I6" s="32" t="s">
        <v>3</v>
      </c>
      <c r="J6" s="37"/>
      <c r="K6" s="31" t="s">
        <v>3</v>
      </c>
      <c r="L6" s="34"/>
      <c r="M6" s="36"/>
      <c r="N6" s="30" t="s">
        <v>3</v>
      </c>
      <c r="O6" s="34"/>
      <c r="P6" s="32" t="s">
        <v>3</v>
      </c>
      <c r="Q6" s="37"/>
      <c r="R6" s="31" t="s">
        <v>3</v>
      </c>
      <c r="S6" s="35"/>
      <c r="T6" s="36"/>
      <c r="U6" s="30" t="s">
        <v>3</v>
      </c>
      <c r="V6" s="31" t="s">
        <v>3</v>
      </c>
      <c r="W6" s="31" t="s">
        <v>3</v>
      </c>
      <c r="X6" s="31" t="s">
        <v>3</v>
      </c>
      <c r="Y6" s="32" t="s">
        <v>3</v>
      </c>
      <c r="Z6" s="40"/>
      <c r="AA6" s="42"/>
      <c r="AB6" s="45" t="s">
        <v>3</v>
      </c>
      <c r="AC6" s="43"/>
    </row>
    <row r="7">
      <c r="A7" s="46"/>
      <c r="B7" s="47" t="s">
        <v>45</v>
      </c>
      <c r="C7" s="48" t="s">
        <v>44</v>
      </c>
      <c r="D7" s="49" t="s">
        <v>3</v>
      </c>
      <c r="E7" s="50" t="s">
        <v>3</v>
      </c>
      <c r="F7" s="50" t="s">
        <v>3</v>
      </c>
      <c r="G7" s="50" t="s">
        <v>3</v>
      </c>
      <c r="H7" s="50" t="s">
        <v>3</v>
      </c>
      <c r="I7" s="51" t="s">
        <v>3</v>
      </c>
      <c r="J7" s="52"/>
      <c r="K7" s="50" t="s">
        <v>3</v>
      </c>
      <c r="L7" s="53"/>
      <c r="M7" s="51" t="s">
        <v>3</v>
      </c>
      <c r="N7" s="49" t="s">
        <v>3</v>
      </c>
      <c r="O7" s="50" t="s">
        <v>3</v>
      </c>
      <c r="P7" s="51" t="s">
        <v>3</v>
      </c>
      <c r="Q7" s="52"/>
      <c r="R7" s="53"/>
      <c r="S7" s="50" t="s">
        <v>3</v>
      </c>
      <c r="T7" s="54"/>
      <c r="U7" s="52"/>
      <c r="V7" s="53"/>
      <c r="W7" s="53"/>
      <c r="X7" s="53"/>
      <c r="Y7" s="54"/>
      <c r="Z7" s="49" t="s">
        <v>3</v>
      </c>
      <c r="AA7" s="50" t="s">
        <v>3</v>
      </c>
      <c r="AB7" s="53"/>
      <c r="AC7" s="54"/>
    </row>
    <row r="10">
      <c r="B10" s="55" t="s">
        <v>46</v>
      </c>
      <c r="C10" s="56" t="s">
        <v>47</v>
      </c>
      <c r="L10" s="13"/>
    </row>
    <row r="11">
      <c r="B11" s="13"/>
      <c r="C11" s="56" t="s">
        <v>48</v>
      </c>
    </row>
    <row r="12">
      <c r="B12" s="13"/>
      <c r="C12" s="56" t="s">
        <v>49</v>
      </c>
    </row>
    <row r="13">
      <c r="B13" s="13"/>
      <c r="C13" s="56" t="s">
        <v>50</v>
      </c>
    </row>
    <row r="14">
      <c r="C14" s="56" t="s">
        <v>51</v>
      </c>
    </row>
    <row r="15" ht="15.75" customHeight="1"/>
    <row r="16" ht="15.75" customHeight="1">
      <c r="B16" s="55" t="s">
        <v>52</v>
      </c>
      <c r="C16" s="56" t="s">
        <v>47</v>
      </c>
    </row>
    <row r="17" ht="15.75" customHeight="1">
      <c r="C17" s="56" t="s">
        <v>49</v>
      </c>
    </row>
    <row r="18" ht="15.75" customHeight="1">
      <c r="C18" s="56" t="s">
        <v>53</v>
      </c>
    </row>
    <row r="19" ht="15.75" customHeight="1"/>
    <row r="20" ht="15.75" customHeight="1">
      <c r="B20" s="57" t="s">
        <v>54</v>
      </c>
      <c r="C20" s="56" t="s">
        <v>50</v>
      </c>
    </row>
    <row r="21" ht="15.75" customHeight="1">
      <c r="C21" s="56" t="s">
        <v>55</v>
      </c>
    </row>
    <row r="22" ht="15.75" customHeight="1">
      <c r="C22" s="56" t="s">
        <v>56</v>
      </c>
    </row>
    <row r="23" ht="15.75" customHeight="1"/>
    <row r="24" ht="15.75" customHeight="1">
      <c r="B24" s="57" t="s">
        <v>57</v>
      </c>
      <c r="C24" s="56" t="s">
        <v>47</v>
      </c>
    </row>
    <row r="25" ht="15.75" customHeight="1">
      <c r="C25" s="56" t="s">
        <v>51</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8">
    <mergeCell ref="D1:AC1"/>
    <mergeCell ref="D2:I2"/>
    <mergeCell ref="J2:M2"/>
    <mergeCell ref="N2:P2"/>
    <mergeCell ref="Q2:T2"/>
    <mergeCell ref="U2:Y2"/>
    <mergeCell ref="Z2:AC2"/>
    <mergeCell ref="A6:A7"/>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29"/>
    <col customWidth="1" min="2" max="2" width="14.57"/>
    <col customWidth="1" min="3" max="5" width="10.71"/>
    <col customWidth="1" min="6" max="6" width="15.43"/>
    <col customWidth="1" min="7" max="7" width="12.57"/>
    <col customWidth="1" min="8" max="26" width="10.71"/>
  </cols>
  <sheetData>
    <row r="3">
      <c r="A3" s="58" t="s">
        <v>58</v>
      </c>
      <c r="B3" s="59" t="s">
        <v>59</v>
      </c>
      <c r="C3" s="1"/>
      <c r="D3" s="1"/>
      <c r="E3" s="60" t="s">
        <v>60</v>
      </c>
      <c r="F3" s="61" t="s">
        <v>61</v>
      </c>
      <c r="G3" s="62" t="s">
        <v>62</v>
      </c>
    </row>
    <row r="4">
      <c r="A4" s="63" t="s">
        <v>5</v>
      </c>
      <c r="B4" s="64">
        <f t="shared" ref="B4:B9" si="1">1/6</f>
        <v>0.1666666667</v>
      </c>
      <c r="E4" s="65" t="s">
        <v>14</v>
      </c>
      <c r="F4" s="66">
        <f t="shared" ref="F4:F9" si="2">1/6</f>
        <v>0.1666666667</v>
      </c>
      <c r="G4" s="66">
        <f t="shared" ref="G4:G9" si="3">F4*$B$4</f>
        <v>0.02777777778</v>
      </c>
    </row>
    <row r="5">
      <c r="A5" s="67" t="s">
        <v>6</v>
      </c>
      <c r="B5" s="68">
        <f t="shared" si="1"/>
        <v>0.1666666667</v>
      </c>
      <c r="E5" s="63" t="s">
        <v>15</v>
      </c>
      <c r="F5" s="64">
        <f t="shared" si="2"/>
        <v>0.1666666667</v>
      </c>
      <c r="G5" s="64">
        <f t="shared" si="3"/>
        <v>0.02777777778</v>
      </c>
    </row>
    <row r="6">
      <c r="A6" s="69" t="s">
        <v>7</v>
      </c>
      <c r="B6" s="70">
        <f t="shared" si="1"/>
        <v>0.1666666667</v>
      </c>
      <c r="E6" s="63" t="s">
        <v>16</v>
      </c>
      <c r="F6" s="64">
        <f t="shared" si="2"/>
        <v>0.1666666667</v>
      </c>
      <c r="G6" s="64">
        <f t="shared" si="3"/>
        <v>0.02777777778</v>
      </c>
    </row>
    <row r="7">
      <c r="A7" s="71" t="s">
        <v>8</v>
      </c>
      <c r="B7" s="72">
        <f t="shared" si="1"/>
        <v>0.1666666667</v>
      </c>
      <c r="E7" s="63" t="s">
        <v>17</v>
      </c>
      <c r="F7" s="64">
        <f t="shared" si="2"/>
        <v>0.1666666667</v>
      </c>
      <c r="G7" s="64">
        <f t="shared" si="3"/>
        <v>0.02777777778</v>
      </c>
    </row>
    <row r="8">
      <c r="A8" s="73" t="s">
        <v>9</v>
      </c>
      <c r="B8" s="74">
        <f t="shared" si="1"/>
        <v>0.1666666667</v>
      </c>
      <c r="E8" s="63" t="s">
        <v>18</v>
      </c>
      <c r="F8" s="64">
        <f t="shared" si="2"/>
        <v>0.1666666667</v>
      </c>
      <c r="G8" s="64">
        <f t="shared" si="3"/>
        <v>0.02777777778</v>
      </c>
    </row>
    <row r="9">
      <c r="A9" s="75" t="s">
        <v>10</v>
      </c>
      <c r="B9" s="76">
        <f t="shared" si="1"/>
        <v>0.1666666667</v>
      </c>
      <c r="E9" s="63" t="s">
        <v>19</v>
      </c>
      <c r="F9" s="64">
        <f t="shared" si="2"/>
        <v>0.1666666667</v>
      </c>
      <c r="G9" s="64">
        <f t="shared" si="3"/>
        <v>0.02777777778</v>
      </c>
    </row>
    <row r="10">
      <c r="A10" s="77" t="s">
        <v>63</v>
      </c>
      <c r="B10" s="78">
        <f>SUM(B4:B9)</f>
        <v>1</v>
      </c>
      <c r="E10" s="79" t="s">
        <v>64</v>
      </c>
      <c r="F10" s="80">
        <f t="shared" ref="F10:G10" si="4">SUM(F4:F9)</f>
        <v>1</v>
      </c>
      <c r="G10" s="81">
        <f t="shared" si="4"/>
        <v>0.1666666667</v>
      </c>
    </row>
    <row r="11">
      <c r="B11" s="82"/>
    </row>
    <row r="12">
      <c r="E12" s="83" t="s">
        <v>20</v>
      </c>
      <c r="F12" s="84">
        <f t="shared" ref="F12:F15" si="5">1/4</f>
        <v>0.25</v>
      </c>
      <c r="G12" s="84">
        <f t="shared" ref="G12:G15" si="6">F12*$B$5</f>
        <v>0.04166666667</v>
      </c>
    </row>
    <row r="13">
      <c r="E13" s="67" t="s">
        <v>21</v>
      </c>
      <c r="F13" s="68">
        <f t="shared" si="5"/>
        <v>0.25</v>
      </c>
      <c r="G13" s="68">
        <f t="shared" si="6"/>
        <v>0.04166666667</v>
      </c>
    </row>
    <row r="14">
      <c r="E14" s="67" t="s">
        <v>22</v>
      </c>
      <c r="F14" s="68">
        <f t="shared" si="5"/>
        <v>0.25</v>
      </c>
      <c r="G14" s="68">
        <f t="shared" si="6"/>
        <v>0.04166666667</v>
      </c>
    </row>
    <row r="15">
      <c r="E15" s="67" t="s">
        <v>23</v>
      </c>
      <c r="F15" s="68">
        <f t="shared" si="5"/>
        <v>0.25</v>
      </c>
      <c r="G15" s="68">
        <f t="shared" si="6"/>
        <v>0.04166666667</v>
      </c>
    </row>
    <row r="16">
      <c r="E16" s="85" t="s">
        <v>65</v>
      </c>
      <c r="F16" s="86">
        <f t="shared" ref="F16:G16" si="7">SUM(F12:F15)</f>
        <v>1</v>
      </c>
      <c r="G16" s="87">
        <f t="shared" si="7"/>
        <v>0.1666666667</v>
      </c>
    </row>
    <row r="18">
      <c r="E18" s="88" t="s">
        <v>24</v>
      </c>
      <c r="F18" s="89">
        <f t="shared" ref="F18:F20" si="8">1/3</f>
        <v>0.3333333333</v>
      </c>
      <c r="G18" s="89">
        <f t="shared" ref="G18:G20" si="9">F18*$B$6</f>
        <v>0.05555555556</v>
      </c>
    </row>
    <row r="19">
      <c r="E19" s="69" t="s">
        <v>25</v>
      </c>
      <c r="F19" s="70">
        <f t="shared" si="8"/>
        <v>0.3333333333</v>
      </c>
      <c r="G19" s="70">
        <f t="shared" si="9"/>
        <v>0.05555555556</v>
      </c>
    </row>
    <row r="20">
      <c r="E20" s="69" t="s">
        <v>26</v>
      </c>
      <c r="F20" s="70">
        <f t="shared" si="8"/>
        <v>0.3333333333</v>
      </c>
      <c r="G20" s="70">
        <f t="shared" si="9"/>
        <v>0.05555555556</v>
      </c>
    </row>
    <row r="21" ht="15.75" customHeight="1">
      <c r="E21" s="90" t="s">
        <v>66</v>
      </c>
      <c r="F21" s="91">
        <f t="shared" ref="F21:G21" si="10">SUM(F18:F20)</f>
        <v>1</v>
      </c>
      <c r="G21" s="92">
        <f t="shared" si="10"/>
        <v>0.1666666667</v>
      </c>
    </row>
    <row r="22" ht="15.75" customHeight="1"/>
    <row r="23" ht="15.75" customHeight="1">
      <c r="E23" s="93" t="s">
        <v>27</v>
      </c>
      <c r="F23" s="94">
        <f t="shared" ref="F23:F26" si="11">1/4</f>
        <v>0.25</v>
      </c>
      <c r="G23" s="94">
        <f t="shared" ref="G23:G26" si="12">F23*$B$7</f>
        <v>0.04166666667</v>
      </c>
    </row>
    <row r="24" ht="15.75" customHeight="1">
      <c r="E24" s="71" t="s">
        <v>28</v>
      </c>
      <c r="F24" s="72">
        <f t="shared" si="11"/>
        <v>0.25</v>
      </c>
      <c r="G24" s="72">
        <f t="shared" si="12"/>
        <v>0.04166666667</v>
      </c>
    </row>
    <row r="25" ht="15.75" customHeight="1">
      <c r="E25" s="71" t="s">
        <v>29</v>
      </c>
      <c r="F25" s="72">
        <f t="shared" si="11"/>
        <v>0.25</v>
      </c>
      <c r="G25" s="72">
        <f t="shared" si="12"/>
        <v>0.04166666667</v>
      </c>
    </row>
    <row r="26" ht="15.75" customHeight="1">
      <c r="E26" s="71" t="s">
        <v>30</v>
      </c>
      <c r="F26" s="72">
        <f t="shared" si="11"/>
        <v>0.25</v>
      </c>
      <c r="G26" s="72">
        <f t="shared" si="12"/>
        <v>0.04166666667</v>
      </c>
    </row>
    <row r="27" ht="15.75" customHeight="1">
      <c r="E27" s="95" t="s">
        <v>67</v>
      </c>
      <c r="F27" s="96">
        <f t="shared" ref="F27:G27" si="13">SUM(F23:F26)</f>
        <v>1</v>
      </c>
      <c r="G27" s="97">
        <f t="shared" si="13"/>
        <v>0.1666666667</v>
      </c>
    </row>
    <row r="28" ht="15.75" customHeight="1"/>
    <row r="29" ht="15.75" customHeight="1">
      <c r="E29" s="98" t="s">
        <v>31</v>
      </c>
      <c r="F29" s="99">
        <f t="shared" ref="F29:F33" si="14">1/5</f>
        <v>0.2</v>
      </c>
      <c r="G29" s="99">
        <f t="shared" ref="G29:G33" si="15">F29*$B$8</f>
        <v>0.03333333333</v>
      </c>
    </row>
    <row r="30" ht="15.75" customHeight="1">
      <c r="E30" s="73" t="s">
        <v>32</v>
      </c>
      <c r="F30" s="74">
        <f t="shared" si="14"/>
        <v>0.2</v>
      </c>
      <c r="G30" s="74">
        <f t="shared" si="15"/>
        <v>0.03333333333</v>
      </c>
    </row>
    <row r="31" ht="15.75" customHeight="1">
      <c r="E31" s="73" t="s">
        <v>33</v>
      </c>
      <c r="F31" s="74">
        <f t="shared" si="14"/>
        <v>0.2</v>
      </c>
      <c r="G31" s="74">
        <f t="shared" si="15"/>
        <v>0.03333333333</v>
      </c>
    </row>
    <row r="32" ht="15.75" customHeight="1">
      <c r="E32" s="73" t="s">
        <v>34</v>
      </c>
      <c r="F32" s="74">
        <f t="shared" si="14"/>
        <v>0.2</v>
      </c>
      <c r="G32" s="74">
        <f t="shared" si="15"/>
        <v>0.03333333333</v>
      </c>
    </row>
    <row r="33" ht="15.75" customHeight="1">
      <c r="E33" s="73" t="s">
        <v>35</v>
      </c>
      <c r="F33" s="74">
        <f t="shared" si="14"/>
        <v>0.2</v>
      </c>
      <c r="G33" s="74">
        <f t="shared" si="15"/>
        <v>0.03333333333</v>
      </c>
    </row>
    <row r="34" ht="15.75" customHeight="1">
      <c r="E34" s="100" t="s">
        <v>68</v>
      </c>
      <c r="F34" s="101">
        <f>SUM(F29:F33)</f>
        <v>1</v>
      </c>
      <c r="G34" s="102">
        <f>SUM(G29:Z33)</f>
        <v>0.1666666667</v>
      </c>
    </row>
    <row r="35" ht="15.75" customHeight="1"/>
    <row r="36" ht="15.75" customHeight="1">
      <c r="E36" s="103" t="s">
        <v>36</v>
      </c>
      <c r="F36" s="104">
        <f t="shared" ref="F36:F39" si="16">1/4</f>
        <v>0.25</v>
      </c>
      <c r="G36" s="104">
        <f t="shared" ref="G36:G39" si="17">F36*$B$9</f>
        <v>0.04166666667</v>
      </c>
    </row>
    <row r="37" ht="15.75" customHeight="1">
      <c r="E37" s="75" t="s">
        <v>37</v>
      </c>
      <c r="F37" s="76">
        <f t="shared" si="16"/>
        <v>0.25</v>
      </c>
      <c r="G37" s="76">
        <f t="shared" si="17"/>
        <v>0.04166666667</v>
      </c>
    </row>
    <row r="38" ht="15.75" customHeight="1">
      <c r="E38" s="75" t="s">
        <v>38</v>
      </c>
      <c r="F38" s="76">
        <f t="shared" si="16"/>
        <v>0.25</v>
      </c>
      <c r="G38" s="76">
        <f t="shared" si="17"/>
        <v>0.04166666667</v>
      </c>
    </row>
    <row r="39" ht="15.75" customHeight="1">
      <c r="E39" s="75" t="s">
        <v>39</v>
      </c>
      <c r="F39" s="76">
        <f t="shared" si="16"/>
        <v>0.25</v>
      </c>
      <c r="G39" s="76">
        <f t="shared" si="17"/>
        <v>0.04166666667</v>
      </c>
    </row>
    <row r="40" ht="15.75" customHeight="1">
      <c r="E40" s="105" t="s">
        <v>69</v>
      </c>
      <c r="F40" s="106">
        <f t="shared" ref="F40:G40" si="18">SUM(F36:F39)</f>
        <v>1</v>
      </c>
      <c r="G40" s="106">
        <f t="shared" si="18"/>
        <v>0.1666666667</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6.43"/>
    <col customWidth="1" min="2" max="2" width="15.86"/>
    <col customWidth="1" min="3" max="3" width="10.71"/>
    <col customWidth="1" min="4" max="4" width="14.0"/>
    <col customWidth="1" min="5" max="5" width="14.14"/>
    <col customWidth="1" min="6" max="6" width="14.71"/>
    <col customWidth="1" min="7" max="7" width="14.0"/>
    <col customWidth="1" min="8" max="8" width="15.43"/>
    <col customWidth="1" min="10" max="10" width="12.57"/>
    <col customWidth="1" min="11" max="11" width="11.86"/>
    <col customWidth="1" min="12" max="12" width="12.0"/>
    <col customWidth="1" min="13" max="15" width="12.14"/>
    <col customWidth="1" min="16" max="16" width="11.43"/>
    <col customWidth="1" min="17" max="17" width="10.71"/>
    <col customWidth="1" min="18" max="18" width="15.0"/>
    <col customWidth="1" min="19" max="19" width="34.29"/>
    <col customWidth="1" min="20" max="20" width="29.71"/>
    <col customWidth="1" min="21" max="21" width="27.71"/>
    <col customWidth="1" min="22" max="22" width="88.57"/>
    <col customWidth="1" min="23" max="34" width="10.71"/>
  </cols>
  <sheetData>
    <row r="1">
      <c r="A1" s="107" t="s">
        <v>70</v>
      </c>
      <c r="B1" s="108"/>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c r="AF1" s="108"/>
      <c r="AG1" s="108"/>
      <c r="AH1" s="108"/>
    </row>
    <row r="2">
      <c r="A2" s="108"/>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row>
    <row r="3">
      <c r="A3" s="108"/>
      <c r="B3" s="108"/>
      <c r="C3" s="108"/>
      <c r="D3" s="108"/>
      <c r="E3" s="108"/>
      <c r="F3" s="108"/>
      <c r="G3" s="108"/>
      <c r="H3" s="108"/>
      <c r="I3" s="108"/>
      <c r="J3" s="108"/>
      <c r="K3" s="108"/>
      <c r="L3" s="108"/>
      <c r="M3" s="108"/>
      <c r="N3" s="108"/>
      <c r="O3" s="108"/>
      <c r="P3" s="108"/>
      <c r="Q3" s="108"/>
      <c r="V3" s="109"/>
      <c r="W3" s="108"/>
      <c r="X3" s="108"/>
      <c r="Y3" s="108"/>
      <c r="Z3" s="108"/>
      <c r="AA3" s="108"/>
      <c r="AB3" s="108"/>
      <c r="AC3" s="108"/>
      <c r="AD3" s="108"/>
      <c r="AE3" s="108"/>
      <c r="AF3" s="108"/>
      <c r="AG3" s="108"/>
      <c r="AH3" s="108"/>
    </row>
    <row r="4">
      <c r="A4" s="108"/>
      <c r="B4" s="108"/>
      <c r="C4" s="108"/>
      <c r="D4" s="108"/>
      <c r="E4" s="108"/>
      <c r="F4" s="108"/>
      <c r="G4" s="108"/>
      <c r="H4" s="108"/>
      <c r="I4" s="108"/>
      <c r="J4" s="108"/>
      <c r="K4" s="108"/>
      <c r="L4" s="108"/>
      <c r="M4" s="108"/>
      <c r="N4" s="108"/>
      <c r="O4" s="108"/>
      <c r="P4" s="108"/>
      <c r="Q4" s="108"/>
      <c r="V4" s="110"/>
      <c r="W4" s="108"/>
      <c r="X4" s="108"/>
      <c r="Y4" s="108"/>
      <c r="Z4" s="108"/>
      <c r="AA4" s="108"/>
      <c r="AB4" s="108"/>
      <c r="AC4" s="108"/>
      <c r="AD4" s="108"/>
      <c r="AE4" s="108"/>
      <c r="AF4" s="108"/>
      <c r="AG4" s="108"/>
      <c r="AH4" s="108"/>
    </row>
    <row r="5">
      <c r="A5" s="108"/>
      <c r="B5" s="108"/>
      <c r="C5" s="108"/>
      <c r="D5" s="108"/>
      <c r="E5" s="108"/>
      <c r="F5" s="111"/>
      <c r="G5" s="112" t="s">
        <v>71</v>
      </c>
      <c r="H5" s="3"/>
      <c r="I5" s="3"/>
      <c r="J5" s="3"/>
      <c r="K5" s="3"/>
      <c r="L5" s="3"/>
      <c r="M5" s="3"/>
      <c r="N5" s="3"/>
      <c r="O5" s="3"/>
      <c r="P5" s="3"/>
      <c r="Q5" s="108"/>
      <c r="R5" s="113" t="s">
        <v>58</v>
      </c>
      <c r="S5" s="113" t="s">
        <v>59</v>
      </c>
      <c r="T5" s="114" t="s">
        <v>72</v>
      </c>
      <c r="U5" s="114" t="s">
        <v>73</v>
      </c>
      <c r="V5" s="110"/>
      <c r="W5" s="108"/>
      <c r="X5" s="108"/>
      <c r="Y5" s="108"/>
      <c r="Z5" s="108"/>
      <c r="AA5" s="108"/>
      <c r="AB5" s="108"/>
      <c r="AC5" s="108"/>
      <c r="AD5" s="108"/>
      <c r="AE5" s="108"/>
      <c r="AF5" s="108"/>
      <c r="AG5" s="108"/>
      <c r="AH5" s="108"/>
    </row>
    <row r="6">
      <c r="A6" s="115" t="s">
        <v>74</v>
      </c>
      <c r="B6" s="116" t="s">
        <v>75</v>
      </c>
      <c r="C6" s="115" t="s">
        <v>76</v>
      </c>
      <c r="D6" s="116" t="s">
        <v>72</v>
      </c>
      <c r="E6" s="117" t="s">
        <v>77</v>
      </c>
      <c r="F6" s="117" t="s">
        <v>78</v>
      </c>
      <c r="G6" s="115" t="s">
        <v>79</v>
      </c>
      <c r="H6" s="115" t="s">
        <v>80</v>
      </c>
      <c r="I6" s="115" t="s">
        <v>81</v>
      </c>
      <c r="J6" s="115" t="s">
        <v>82</v>
      </c>
      <c r="K6" s="118" t="s">
        <v>83</v>
      </c>
      <c r="L6" s="118" t="s">
        <v>84</v>
      </c>
      <c r="M6" s="118" t="s">
        <v>85</v>
      </c>
      <c r="N6" s="118" t="s">
        <v>86</v>
      </c>
      <c r="O6" s="118" t="s">
        <v>87</v>
      </c>
      <c r="P6" s="118" t="s">
        <v>88</v>
      </c>
      <c r="Q6" s="119"/>
      <c r="R6" s="120" t="s">
        <v>5</v>
      </c>
      <c r="S6" s="121">
        <f t="shared" ref="S6:S11" si="1">1/6</f>
        <v>0.1666666667</v>
      </c>
      <c r="T6" s="121">
        <f>D13</f>
        <v>0.04861111111</v>
      </c>
      <c r="U6" s="121">
        <f>F13</f>
        <v>0.04861111111</v>
      </c>
      <c r="V6" s="110"/>
      <c r="W6" s="108"/>
      <c r="X6" s="108"/>
      <c r="Y6" s="108"/>
      <c r="Z6" s="108"/>
      <c r="AA6" s="108"/>
      <c r="AB6" s="108"/>
      <c r="AC6" s="108"/>
      <c r="AD6" s="108"/>
      <c r="AE6" s="108"/>
      <c r="AF6" s="108"/>
      <c r="AG6" s="108"/>
      <c r="AH6" s="108"/>
    </row>
    <row r="7">
      <c r="A7" s="122">
        <v>46023.0</v>
      </c>
      <c r="B7" s="123">
        <f>'peso de las competencias'!G4</f>
        <v>0.02777777778</v>
      </c>
      <c r="C7" s="124">
        <v>0.25</v>
      </c>
      <c r="D7" s="125">
        <f t="shared" ref="D7:D12" si="2">C7*B7</f>
        <v>0.006944444444</v>
      </c>
      <c r="E7" s="126">
        <f t="shared" ref="E7:E12" si="3">IF($C7=0, 0, IFERROR(SUM($G7:$P7)/COUNT($G7:$P7), 0))</f>
        <v>10</v>
      </c>
      <c r="F7" s="127">
        <f t="shared" ref="F7:F12" si="4">(E7/10)*D7</f>
        <v>0.006944444444</v>
      </c>
      <c r="G7" s="128">
        <v>10.0</v>
      </c>
      <c r="H7" s="129"/>
      <c r="I7" s="129"/>
      <c r="J7" s="129"/>
      <c r="K7" s="130"/>
      <c r="L7" s="130"/>
      <c r="M7" s="130"/>
      <c r="N7" s="130"/>
      <c r="O7" s="130"/>
      <c r="P7" s="130"/>
      <c r="Q7" s="108"/>
      <c r="R7" s="120" t="s">
        <v>6</v>
      </c>
      <c r="S7" s="121">
        <f t="shared" si="1"/>
        <v>0.1666666667</v>
      </c>
      <c r="T7" s="121">
        <f>D21</f>
        <v>0.1145833333</v>
      </c>
      <c r="U7" s="121">
        <f>F21</f>
        <v>0.1145833333</v>
      </c>
      <c r="V7" s="110"/>
      <c r="W7" s="108"/>
      <c r="X7" s="108"/>
      <c r="Y7" s="108"/>
      <c r="Z7" s="108"/>
      <c r="AA7" s="108"/>
      <c r="AB7" s="108"/>
      <c r="AC7" s="108"/>
      <c r="AD7" s="108"/>
      <c r="AE7" s="108"/>
      <c r="AF7" s="108"/>
      <c r="AG7" s="108"/>
      <c r="AH7" s="108"/>
    </row>
    <row r="8">
      <c r="A8" s="122">
        <v>46054.0</v>
      </c>
      <c r="B8" s="123">
        <f>'peso de las competencias'!G5</f>
        <v>0.02777777778</v>
      </c>
      <c r="C8" s="124">
        <v>0.25</v>
      </c>
      <c r="D8" s="131">
        <f t="shared" si="2"/>
        <v>0.006944444444</v>
      </c>
      <c r="E8" s="126">
        <f t="shared" si="3"/>
        <v>10</v>
      </c>
      <c r="F8" s="127">
        <f t="shared" si="4"/>
        <v>0.006944444444</v>
      </c>
      <c r="G8" s="132">
        <v>10.0</v>
      </c>
      <c r="H8" s="133">
        <v>10.0</v>
      </c>
      <c r="I8" s="129"/>
      <c r="J8" s="129"/>
      <c r="K8" s="130"/>
      <c r="L8" s="130"/>
      <c r="M8" s="130"/>
      <c r="N8" s="130"/>
      <c r="O8" s="130"/>
      <c r="P8" s="130"/>
      <c r="Q8" s="108"/>
      <c r="R8" s="120" t="s">
        <v>7</v>
      </c>
      <c r="S8" s="121">
        <f t="shared" si="1"/>
        <v>0.1666666667</v>
      </c>
      <c r="T8" s="121">
        <f>D28</f>
        <v>0.05555555556</v>
      </c>
      <c r="U8" s="121">
        <f>F28</f>
        <v>0.05555555556</v>
      </c>
      <c r="V8" s="110"/>
      <c r="W8" s="108"/>
      <c r="X8" s="108"/>
      <c r="Y8" s="108"/>
      <c r="Z8" s="108"/>
      <c r="AA8" s="108"/>
      <c r="AB8" s="108"/>
      <c r="AC8" s="108"/>
      <c r="AD8" s="108"/>
      <c r="AE8" s="108"/>
      <c r="AF8" s="108"/>
      <c r="AG8" s="108"/>
      <c r="AH8" s="108"/>
    </row>
    <row r="9">
      <c r="A9" s="122">
        <v>46082.0</v>
      </c>
      <c r="B9" s="123">
        <f>'peso de las competencias'!G6</f>
        <v>0.02777777778</v>
      </c>
      <c r="C9" s="124">
        <v>0.25</v>
      </c>
      <c r="D9" s="131">
        <f t="shared" si="2"/>
        <v>0.006944444444</v>
      </c>
      <c r="E9" s="126">
        <f t="shared" si="3"/>
        <v>10</v>
      </c>
      <c r="F9" s="127">
        <f t="shared" si="4"/>
        <v>0.006944444444</v>
      </c>
      <c r="G9" s="132">
        <v>10.0</v>
      </c>
      <c r="H9" s="129"/>
      <c r="I9" s="129"/>
      <c r="J9" s="129"/>
      <c r="K9" s="130"/>
      <c r="L9" s="130"/>
      <c r="M9" s="130"/>
      <c r="N9" s="130"/>
      <c r="O9" s="130"/>
      <c r="P9" s="130"/>
      <c r="Q9" s="108"/>
      <c r="R9" s="120" t="s">
        <v>8</v>
      </c>
      <c r="S9" s="121">
        <f t="shared" si="1"/>
        <v>0.1666666667</v>
      </c>
      <c r="T9" s="134">
        <v>0.0</v>
      </c>
      <c r="U9" s="135">
        <v>0.0</v>
      </c>
      <c r="V9" s="110"/>
      <c r="W9" s="108"/>
      <c r="X9" s="108"/>
      <c r="Y9" s="108"/>
      <c r="Z9" s="108"/>
      <c r="AA9" s="108"/>
      <c r="AB9" s="108"/>
      <c r="AC9" s="108"/>
      <c r="AD9" s="108"/>
      <c r="AE9" s="108"/>
      <c r="AF9" s="108"/>
      <c r="AG9" s="108"/>
      <c r="AH9" s="108"/>
    </row>
    <row r="10">
      <c r="A10" s="136">
        <v>46113.0</v>
      </c>
      <c r="B10" s="123">
        <f>'peso de las competencias'!G7</f>
        <v>0.02777777778</v>
      </c>
      <c r="C10" s="124">
        <v>0.25</v>
      </c>
      <c r="D10" s="131">
        <f t="shared" si="2"/>
        <v>0.006944444444</v>
      </c>
      <c r="E10" s="126">
        <f t="shared" si="3"/>
        <v>10</v>
      </c>
      <c r="F10" s="127">
        <f t="shared" si="4"/>
        <v>0.006944444444</v>
      </c>
      <c r="G10" s="132">
        <v>10.0</v>
      </c>
      <c r="H10" s="129"/>
      <c r="I10" s="129"/>
      <c r="J10" s="129"/>
      <c r="K10" s="130"/>
      <c r="L10" s="130"/>
      <c r="M10" s="130"/>
      <c r="N10" s="130"/>
      <c r="O10" s="133">
        <v>10.0</v>
      </c>
      <c r="P10" s="130"/>
      <c r="Q10" s="108"/>
      <c r="R10" s="120" t="s">
        <v>9</v>
      </c>
      <c r="S10" s="121">
        <f t="shared" si="1"/>
        <v>0.1666666667</v>
      </c>
      <c r="T10" s="134">
        <v>0.0</v>
      </c>
      <c r="U10" s="134">
        <v>0.0</v>
      </c>
      <c r="V10" s="110"/>
      <c r="W10" s="108"/>
      <c r="X10" s="108"/>
      <c r="Y10" s="108"/>
      <c r="Z10" s="108"/>
      <c r="AA10" s="108"/>
      <c r="AB10" s="108"/>
      <c r="AC10" s="108"/>
      <c r="AD10" s="108"/>
      <c r="AE10" s="108"/>
      <c r="AF10" s="108"/>
      <c r="AG10" s="108"/>
      <c r="AH10" s="108"/>
    </row>
    <row r="11">
      <c r="A11" s="136">
        <v>46143.0</v>
      </c>
      <c r="B11" s="123">
        <f>'peso de las competencias'!G8</f>
        <v>0.02777777778</v>
      </c>
      <c r="C11" s="124">
        <v>0.5</v>
      </c>
      <c r="D11" s="131">
        <f t="shared" si="2"/>
        <v>0.01388888889</v>
      </c>
      <c r="E11" s="126">
        <f t="shared" si="3"/>
        <v>10</v>
      </c>
      <c r="F11" s="127">
        <f t="shared" si="4"/>
        <v>0.01388888889</v>
      </c>
      <c r="G11" s="132">
        <v>10.0</v>
      </c>
      <c r="H11" s="129"/>
      <c r="I11" s="129"/>
      <c r="J11" s="129"/>
      <c r="K11" s="130"/>
      <c r="L11" s="130"/>
      <c r="M11" s="130"/>
      <c r="N11" s="130"/>
      <c r="O11" s="130"/>
      <c r="P11" s="130"/>
      <c r="Q11" s="108"/>
      <c r="R11" s="120" t="s">
        <v>10</v>
      </c>
      <c r="S11" s="121">
        <f t="shared" si="1"/>
        <v>0.1666666667</v>
      </c>
      <c r="T11" s="134">
        <v>0.0</v>
      </c>
      <c r="U11" s="137">
        <v>0.0</v>
      </c>
      <c r="V11" s="108"/>
      <c r="W11" s="108"/>
      <c r="X11" s="108"/>
      <c r="Y11" s="108"/>
      <c r="Z11" s="108"/>
      <c r="AA11" s="108"/>
      <c r="AB11" s="108"/>
      <c r="AC11" s="108"/>
      <c r="AD11" s="108"/>
      <c r="AE11" s="108"/>
      <c r="AF11" s="108"/>
      <c r="AG11" s="108"/>
      <c r="AH11" s="108"/>
    </row>
    <row r="12">
      <c r="A12" s="136">
        <v>46174.0</v>
      </c>
      <c r="B12" s="123">
        <f>'peso de las competencias'!G9</f>
        <v>0.02777777778</v>
      </c>
      <c r="C12" s="124">
        <v>0.25</v>
      </c>
      <c r="D12" s="131">
        <f t="shared" si="2"/>
        <v>0.006944444444</v>
      </c>
      <c r="E12" s="126">
        <f t="shared" si="3"/>
        <v>10</v>
      </c>
      <c r="F12" s="127">
        <f t="shared" si="4"/>
        <v>0.006944444444</v>
      </c>
      <c r="G12" s="132">
        <v>10.0</v>
      </c>
      <c r="H12" s="129"/>
      <c r="I12" s="129"/>
      <c r="J12" s="129"/>
      <c r="K12" s="130"/>
      <c r="L12" s="130"/>
      <c r="M12" s="130"/>
      <c r="N12" s="133">
        <v>10.0</v>
      </c>
      <c r="O12" s="130"/>
      <c r="P12" s="133">
        <v>10.0</v>
      </c>
      <c r="Q12" s="108"/>
      <c r="R12" s="138" t="s">
        <v>89</v>
      </c>
      <c r="S12" s="139">
        <f t="shared" ref="S12:U12" si="5">SUM(S6:S11)</f>
        <v>1</v>
      </c>
      <c r="T12" s="140">
        <f t="shared" si="5"/>
        <v>0.21875</v>
      </c>
      <c r="U12" s="141">
        <f t="shared" si="5"/>
        <v>0.21875</v>
      </c>
      <c r="V12" s="108"/>
      <c r="W12" s="108"/>
      <c r="X12" s="108"/>
      <c r="Y12" s="108"/>
      <c r="Z12" s="108"/>
      <c r="AA12" s="108"/>
      <c r="AB12" s="108"/>
      <c r="AC12" s="108"/>
      <c r="AD12" s="108"/>
      <c r="AE12" s="108"/>
      <c r="AF12" s="108"/>
      <c r="AG12" s="108"/>
      <c r="AH12" s="108"/>
    </row>
    <row r="13">
      <c r="A13" s="142" t="s">
        <v>90</v>
      </c>
      <c r="B13" s="143">
        <f>SUM(B7:B12)</f>
        <v>0.1666666667</v>
      </c>
      <c r="C13" s="144"/>
      <c r="D13" s="143">
        <f>SUM(D7:D12)</f>
        <v>0.04861111111</v>
      </c>
      <c r="E13" s="145"/>
      <c r="F13" s="143">
        <f>SUM(F7:F12)</f>
        <v>0.04861111111</v>
      </c>
      <c r="G13" s="146"/>
      <c r="H13" s="146"/>
      <c r="I13" s="146"/>
      <c r="J13" s="146"/>
      <c r="K13" s="147"/>
      <c r="L13" s="147"/>
      <c r="M13" s="147"/>
      <c r="N13" s="147"/>
      <c r="O13" s="147"/>
      <c r="P13" s="147"/>
      <c r="Q13" s="108"/>
      <c r="R13" s="148"/>
      <c r="S13" s="148"/>
      <c r="T13" s="134" t="s">
        <v>91</v>
      </c>
      <c r="U13" s="149">
        <f>IF(T12=0, 0, (U12/T12)*10)</f>
        <v>10</v>
      </c>
      <c r="V13" s="108"/>
      <c r="W13" s="108"/>
      <c r="X13" s="108"/>
      <c r="Y13" s="108"/>
      <c r="Z13" s="108"/>
      <c r="AA13" s="108"/>
      <c r="AB13" s="108"/>
      <c r="AC13" s="108"/>
      <c r="AD13" s="108"/>
      <c r="AE13" s="108"/>
      <c r="AF13" s="108"/>
      <c r="AG13" s="108"/>
      <c r="AH13" s="108"/>
    </row>
    <row r="14">
      <c r="A14" s="108"/>
      <c r="B14" s="108"/>
      <c r="C14" s="108"/>
      <c r="D14" s="108"/>
      <c r="E14" s="108"/>
      <c r="F14" s="108"/>
      <c r="G14" s="108"/>
      <c r="H14" s="108"/>
      <c r="I14" s="108"/>
      <c r="J14" s="108"/>
      <c r="K14" s="108"/>
      <c r="L14" s="108"/>
      <c r="M14" s="108"/>
      <c r="N14" s="108"/>
      <c r="O14" s="108"/>
      <c r="P14" s="108"/>
      <c r="Q14" s="108"/>
      <c r="R14" s="150"/>
      <c r="S14" s="151"/>
      <c r="T14" s="152" t="s">
        <v>92</v>
      </c>
      <c r="U14" s="153">
        <f>SUM(U13)/1</f>
        <v>10</v>
      </c>
      <c r="V14" s="108"/>
      <c r="W14" s="108"/>
      <c r="X14" s="108"/>
      <c r="Y14" s="108"/>
      <c r="Z14" s="108"/>
      <c r="AA14" s="108"/>
      <c r="AB14" s="108"/>
      <c r="AC14" s="108"/>
      <c r="AD14" s="108"/>
      <c r="AE14" s="108"/>
      <c r="AF14" s="108"/>
      <c r="AG14" s="108"/>
      <c r="AH14" s="108"/>
    </row>
    <row r="15">
      <c r="A15" s="108"/>
      <c r="B15" s="108"/>
      <c r="C15" s="108"/>
      <c r="D15" s="108"/>
      <c r="E15" s="108"/>
      <c r="F15" s="111"/>
      <c r="G15" s="112" t="s">
        <v>71</v>
      </c>
      <c r="H15" s="3"/>
      <c r="I15" s="3"/>
      <c r="J15" s="3"/>
      <c r="K15" s="3"/>
      <c r="L15" s="3"/>
      <c r="M15" s="3"/>
      <c r="N15" s="3"/>
      <c r="O15" s="3"/>
      <c r="P15" s="3"/>
      <c r="Q15" s="108"/>
      <c r="R15" s="111"/>
      <c r="S15" s="154"/>
      <c r="T15" s="119"/>
      <c r="U15" s="108"/>
      <c r="V15" s="108"/>
      <c r="W15" s="108"/>
      <c r="X15" s="108"/>
      <c r="Y15" s="108"/>
      <c r="Z15" s="108"/>
      <c r="AA15" s="108"/>
      <c r="AB15" s="108"/>
      <c r="AC15" s="108"/>
      <c r="AD15" s="108"/>
      <c r="AE15" s="108"/>
      <c r="AF15" s="108"/>
      <c r="AG15" s="108"/>
      <c r="AH15" s="108"/>
    </row>
    <row r="16">
      <c r="A16" s="155" t="s">
        <v>74</v>
      </c>
      <c r="B16" s="156" t="s">
        <v>75</v>
      </c>
      <c r="C16" s="155" t="s">
        <v>76</v>
      </c>
      <c r="D16" s="116" t="s">
        <v>72</v>
      </c>
      <c r="E16" s="155" t="s">
        <v>93</v>
      </c>
      <c r="F16" s="157" t="s">
        <v>78</v>
      </c>
      <c r="G16" s="155" t="s">
        <v>79</v>
      </c>
      <c r="H16" s="155" t="s">
        <v>80</v>
      </c>
      <c r="I16" s="155" t="s">
        <v>81</v>
      </c>
      <c r="J16" s="155" t="s">
        <v>82</v>
      </c>
      <c r="K16" s="158" t="s">
        <v>83</v>
      </c>
      <c r="L16" s="158" t="s">
        <v>84</v>
      </c>
      <c r="M16" s="158" t="s">
        <v>85</v>
      </c>
      <c r="N16" s="158" t="s">
        <v>86</v>
      </c>
      <c r="O16" s="158" t="s">
        <v>87</v>
      </c>
      <c r="P16" s="158" t="s">
        <v>88</v>
      </c>
      <c r="Q16" s="108"/>
      <c r="R16" s="111"/>
      <c r="S16" s="111"/>
      <c r="T16" s="119"/>
      <c r="U16" s="108"/>
      <c r="V16" s="108"/>
      <c r="W16" s="108"/>
      <c r="X16" s="108"/>
      <c r="Y16" s="108"/>
      <c r="Z16" s="108"/>
      <c r="AA16" s="108"/>
      <c r="AB16" s="108"/>
      <c r="AC16" s="108"/>
      <c r="AD16" s="108"/>
      <c r="AE16" s="108"/>
      <c r="AF16" s="108"/>
      <c r="AG16" s="108"/>
      <c r="AH16" s="108"/>
    </row>
    <row r="17">
      <c r="A17" s="159">
        <v>46024.0</v>
      </c>
      <c r="B17" s="160">
        <f>'peso de las competencias'!G12</f>
        <v>0.04166666667</v>
      </c>
      <c r="C17" s="161">
        <v>1.0</v>
      </c>
      <c r="D17" s="162">
        <f t="shared" ref="D17:D20" si="6">C17*B17</f>
        <v>0.04166666667</v>
      </c>
      <c r="E17" s="126">
        <f t="shared" ref="E17:E20" si="7">IF($C17=0, 0, IFERROR(SUM($G17:$P17)/COUNT($G17:$P17), 0))</f>
        <v>10</v>
      </c>
      <c r="F17" s="163">
        <f t="shared" ref="F17:F20" si="8">(E17/10)*D17</f>
        <v>0.04166666667</v>
      </c>
      <c r="G17" s="133">
        <v>10.0</v>
      </c>
      <c r="H17" s="129"/>
      <c r="I17" s="133">
        <v>10.0</v>
      </c>
      <c r="J17" s="129"/>
      <c r="K17" s="130"/>
      <c r="L17" s="130"/>
      <c r="M17" s="130"/>
      <c r="N17" s="130"/>
      <c r="O17" s="130"/>
      <c r="P17" s="130"/>
      <c r="Q17" s="108"/>
      <c r="R17" s="111"/>
      <c r="S17" s="111"/>
      <c r="T17" s="119"/>
      <c r="U17" s="108"/>
      <c r="V17" s="108"/>
      <c r="W17" s="108"/>
      <c r="X17" s="108"/>
      <c r="Y17" s="108"/>
      <c r="Z17" s="108"/>
      <c r="AA17" s="108"/>
      <c r="AB17" s="108"/>
      <c r="AC17" s="108"/>
      <c r="AD17" s="108"/>
      <c r="AE17" s="108"/>
      <c r="AF17" s="108"/>
      <c r="AG17" s="108"/>
      <c r="AH17" s="108"/>
    </row>
    <row r="18">
      <c r="A18" s="159">
        <v>46055.0</v>
      </c>
      <c r="B18" s="160">
        <f>'peso de las competencias'!G13</f>
        <v>0.04166666667</v>
      </c>
      <c r="C18" s="161">
        <v>0.25</v>
      </c>
      <c r="D18" s="162">
        <f t="shared" si="6"/>
        <v>0.01041666667</v>
      </c>
      <c r="E18" s="126">
        <f t="shared" si="7"/>
        <v>10</v>
      </c>
      <c r="F18" s="163">
        <f t="shared" si="8"/>
        <v>0.01041666667</v>
      </c>
      <c r="G18" s="132">
        <v>10.0</v>
      </c>
      <c r="H18" s="129"/>
      <c r="I18" s="129"/>
      <c r="J18" s="133">
        <v>10.0</v>
      </c>
      <c r="K18" s="133">
        <v>10.0</v>
      </c>
      <c r="L18" s="130"/>
      <c r="M18" s="130"/>
      <c r="N18" s="130"/>
      <c r="O18" s="133">
        <v>10.0</v>
      </c>
      <c r="P18" s="130"/>
      <c r="Q18" s="108"/>
      <c r="R18" s="111"/>
      <c r="S18" s="111"/>
      <c r="T18" s="119"/>
      <c r="U18" s="108"/>
      <c r="V18" s="108"/>
      <c r="W18" s="108"/>
      <c r="X18" s="108"/>
      <c r="Y18" s="108"/>
      <c r="Z18" s="108"/>
      <c r="AA18" s="108"/>
      <c r="AB18" s="108"/>
      <c r="AC18" s="108"/>
      <c r="AD18" s="108"/>
      <c r="AE18" s="108"/>
      <c r="AF18" s="108"/>
      <c r="AG18" s="108"/>
      <c r="AH18" s="108"/>
    </row>
    <row r="19">
      <c r="A19" s="164">
        <v>46083.0</v>
      </c>
      <c r="B19" s="160">
        <f>'peso de las competencias'!G14</f>
        <v>0.04166666667</v>
      </c>
      <c r="C19" s="161">
        <v>1.0</v>
      </c>
      <c r="D19" s="162">
        <f t="shared" si="6"/>
        <v>0.04166666667</v>
      </c>
      <c r="E19" s="126">
        <f t="shared" si="7"/>
        <v>10</v>
      </c>
      <c r="F19" s="163">
        <f t="shared" si="8"/>
        <v>0.04166666667</v>
      </c>
      <c r="G19" s="132">
        <v>10.0</v>
      </c>
      <c r="H19" s="129"/>
      <c r="I19" s="129"/>
      <c r="J19" s="129"/>
      <c r="K19" s="129"/>
      <c r="L19" s="130"/>
      <c r="M19" s="130"/>
      <c r="N19" s="130"/>
      <c r="O19" s="129"/>
      <c r="P19" s="130"/>
      <c r="Q19" s="108"/>
      <c r="R19" s="111"/>
      <c r="S19" s="111"/>
      <c r="T19" s="119"/>
      <c r="U19" s="108"/>
      <c r="V19" s="108"/>
      <c r="W19" s="108"/>
      <c r="X19" s="108"/>
      <c r="Y19" s="108"/>
      <c r="Z19" s="108"/>
      <c r="AA19" s="108"/>
      <c r="AB19" s="108"/>
      <c r="AC19" s="108"/>
      <c r="AD19" s="108"/>
      <c r="AE19" s="108"/>
      <c r="AF19" s="108"/>
      <c r="AG19" s="108"/>
      <c r="AH19" s="108"/>
    </row>
    <row r="20">
      <c r="A20" s="164">
        <v>46114.0</v>
      </c>
      <c r="B20" s="160">
        <f>'peso de las competencias'!G15</f>
        <v>0.04166666667</v>
      </c>
      <c r="C20" s="161">
        <v>0.5</v>
      </c>
      <c r="D20" s="162">
        <f t="shared" si="6"/>
        <v>0.02083333333</v>
      </c>
      <c r="E20" s="126">
        <f t="shared" si="7"/>
        <v>10</v>
      </c>
      <c r="F20" s="163">
        <f t="shared" si="8"/>
        <v>0.02083333333</v>
      </c>
      <c r="G20" s="132">
        <v>10.0</v>
      </c>
      <c r="H20" s="129"/>
      <c r="I20" s="129"/>
      <c r="J20" s="129"/>
      <c r="K20" s="129"/>
      <c r="L20" s="130"/>
      <c r="M20" s="130"/>
      <c r="N20" s="130"/>
      <c r="O20" s="129"/>
      <c r="P20" s="130"/>
      <c r="Q20" s="108"/>
      <c r="R20" s="111"/>
      <c r="S20" s="111"/>
      <c r="T20" s="119"/>
      <c r="U20" s="108"/>
      <c r="V20" s="108"/>
      <c r="W20" s="108"/>
      <c r="X20" s="108"/>
      <c r="Y20" s="108"/>
      <c r="Z20" s="108"/>
      <c r="AA20" s="108"/>
      <c r="AB20" s="108"/>
      <c r="AC20" s="108"/>
      <c r="AD20" s="108"/>
      <c r="AE20" s="108"/>
      <c r="AF20" s="108"/>
      <c r="AG20" s="108"/>
      <c r="AH20" s="108"/>
    </row>
    <row r="21" ht="15.75" customHeight="1">
      <c r="A21" s="142" t="s">
        <v>94</v>
      </c>
      <c r="B21" s="143">
        <f>SUM(B17:B20)</f>
        <v>0.1666666667</v>
      </c>
      <c r="C21" s="144"/>
      <c r="D21" s="143">
        <f>SUM(D17:D20)</f>
        <v>0.1145833333</v>
      </c>
      <c r="E21" s="145"/>
      <c r="F21" s="143">
        <f>SUM(F17:F20)</f>
        <v>0.1145833333</v>
      </c>
      <c r="G21" s="146"/>
      <c r="H21" s="146"/>
      <c r="I21" s="146"/>
      <c r="J21" s="146"/>
      <c r="K21" s="147"/>
      <c r="L21" s="147"/>
      <c r="M21" s="147"/>
      <c r="N21" s="147"/>
      <c r="O21" s="147"/>
      <c r="P21" s="147"/>
      <c r="Q21" s="108"/>
      <c r="R21" s="165"/>
      <c r="S21" s="166"/>
      <c r="T21" s="119"/>
      <c r="U21" s="108"/>
      <c r="V21" s="108"/>
      <c r="W21" s="108"/>
      <c r="X21" s="108"/>
      <c r="Y21" s="108"/>
      <c r="Z21" s="108"/>
      <c r="AA21" s="108"/>
      <c r="AB21" s="108"/>
      <c r="AC21" s="108"/>
      <c r="AD21" s="108"/>
      <c r="AE21" s="108"/>
      <c r="AF21" s="108"/>
      <c r="AG21" s="108"/>
      <c r="AH21" s="108"/>
    </row>
    <row r="22" ht="15.75"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c r="AA22" s="108"/>
      <c r="AB22" s="108"/>
      <c r="AC22" s="108"/>
      <c r="AD22" s="108"/>
      <c r="AE22" s="108"/>
      <c r="AF22" s="108"/>
      <c r="AG22" s="108"/>
      <c r="AH22" s="108"/>
    </row>
    <row r="23" ht="15.75" customHeight="1">
      <c r="A23" s="108"/>
      <c r="B23" s="108"/>
      <c r="C23" s="108"/>
      <c r="D23" s="108"/>
      <c r="E23" s="108"/>
      <c r="F23" s="111"/>
      <c r="G23" s="112" t="s">
        <v>71</v>
      </c>
      <c r="H23" s="3"/>
      <c r="I23" s="3"/>
      <c r="J23" s="3"/>
      <c r="K23" s="3"/>
      <c r="L23" s="3"/>
      <c r="M23" s="3"/>
      <c r="N23" s="3"/>
      <c r="O23" s="3"/>
      <c r="P23" s="3"/>
      <c r="Q23" s="108"/>
      <c r="R23" s="108"/>
      <c r="S23" s="108"/>
      <c r="T23" s="108"/>
      <c r="U23" s="108"/>
      <c r="V23" s="108"/>
      <c r="W23" s="108"/>
      <c r="X23" s="108"/>
      <c r="Y23" s="108"/>
      <c r="Z23" s="108"/>
      <c r="AA23" s="108"/>
      <c r="AB23" s="108"/>
      <c r="AC23" s="108"/>
      <c r="AD23" s="108"/>
      <c r="AE23" s="108"/>
      <c r="AF23" s="108"/>
      <c r="AG23" s="108"/>
      <c r="AH23" s="108"/>
    </row>
    <row r="24">
      <c r="A24" s="155" t="s">
        <v>74</v>
      </c>
      <c r="B24" s="156" t="s">
        <v>75</v>
      </c>
      <c r="C24" s="155" t="s">
        <v>76</v>
      </c>
      <c r="D24" s="116" t="s">
        <v>72</v>
      </c>
      <c r="E24" s="155" t="s">
        <v>93</v>
      </c>
      <c r="F24" s="157" t="s">
        <v>78</v>
      </c>
      <c r="G24" s="155" t="s">
        <v>79</v>
      </c>
      <c r="H24" s="155" t="s">
        <v>80</v>
      </c>
      <c r="I24" s="155" t="s">
        <v>81</v>
      </c>
      <c r="J24" s="155" t="s">
        <v>82</v>
      </c>
      <c r="K24" s="158" t="s">
        <v>83</v>
      </c>
      <c r="L24" s="158" t="s">
        <v>84</v>
      </c>
      <c r="M24" s="158" t="s">
        <v>85</v>
      </c>
      <c r="N24" s="158" t="s">
        <v>86</v>
      </c>
      <c r="O24" s="158" t="s">
        <v>87</v>
      </c>
      <c r="P24" s="158" t="s">
        <v>88</v>
      </c>
      <c r="Q24" s="108"/>
      <c r="R24" s="108"/>
      <c r="S24" s="108"/>
      <c r="T24" s="108"/>
      <c r="U24" s="108"/>
      <c r="V24" s="108"/>
      <c r="W24" s="108"/>
      <c r="X24" s="108"/>
      <c r="Y24" s="108"/>
      <c r="Z24" s="108"/>
      <c r="AA24" s="108"/>
      <c r="AB24" s="108"/>
      <c r="AC24" s="108"/>
      <c r="AD24" s="108"/>
      <c r="AE24" s="108"/>
      <c r="AF24" s="108"/>
      <c r="AG24" s="108"/>
      <c r="AH24" s="108"/>
    </row>
    <row r="25" ht="15.75" customHeight="1">
      <c r="A25" s="159">
        <v>46025.0</v>
      </c>
      <c r="B25" s="160">
        <f>'peso de las competencias'!G18</f>
        <v>0.05555555556</v>
      </c>
      <c r="C25" s="161">
        <v>0.25</v>
      </c>
      <c r="D25" s="162">
        <f t="shared" ref="D25:D27" si="9">C25*B25</f>
        <v>0.01388888889</v>
      </c>
      <c r="E25" s="126">
        <f t="shared" ref="E25:E27" si="10">IF($C25=0, 0, IFERROR(SUM($G25:$P25)/COUNT($G25:$P25), 0))</f>
        <v>10</v>
      </c>
      <c r="F25" s="163">
        <f t="shared" ref="F25:F27" si="11">(E25/10)*D25</f>
        <v>0.01388888889</v>
      </c>
      <c r="G25" s="132">
        <v>10.0</v>
      </c>
      <c r="H25" s="129"/>
      <c r="I25" s="129"/>
      <c r="J25" s="129"/>
      <c r="K25" s="130"/>
      <c r="L25" s="130"/>
      <c r="M25" s="133">
        <v>10.0</v>
      </c>
      <c r="N25" s="130"/>
      <c r="O25" s="130"/>
      <c r="P25" s="130"/>
      <c r="Q25" s="108"/>
      <c r="R25" s="108"/>
      <c r="S25" s="108"/>
      <c r="T25" s="108"/>
      <c r="U25" s="108"/>
      <c r="V25" s="108"/>
      <c r="W25" s="108"/>
      <c r="X25" s="108"/>
      <c r="Y25" s="108"/>
      <c r="Z25" s="108"/>
      <c r="AA25" s="108"/>
      <c r="AB25" s="108"/>
      <c r="AC25" s="108"/>
      <c r="AD25" s="108"/>
      <c r="AE25" s="108"/>
      <c r="AF25" s="108"/>
      <c r="AG25" s="108"/>
      <c r="AH25" s="108"/>
    </row>
    <row r="26" ht="15.75" customHeight="1">
      <c r="A26" s="159">
        <v>46056.0</v>
      </c>
      <c r="B26" s="160">
        <f>'peso de las competencias'!G19</f>
        <v>0.05555555556</v>
      </c>
      <c r="C26" s="167">
        <v>0.5</v>
      </c>
      <c r="D26" s="162">
        <f t="shared" si="9"/>
        <v>0.02777777778</v>
      </c>
      <c r="E26" s="126">
        <f t="shared" si="10"/>
        <v>10</v>
      </c>
      <c r="F26" s="163">
        <f t="shared" si="11"/>
        <v>0.02777777778</v>
      </c>
      <c r="G26" s="129"/>
      <c r="H26" s="129"/>
      <c r="I26" s="129"/>
      <c r="J26" s="129"/>
      <c r="K26" s="130"/>
      <c r="L26" s="132">
        <v>10.0</v>
      </c>
      <c r="M26" s="130"/>
      <c r="N26" s="130"/>
      <c r="O26" s="130"/>
      <c r="P26" s="130"/>
      <c r="Q26" s="108"/>
      <c r="R26" s="108"/>
      <c r="S26" s="108"/>
      <c r="T26" s="108"/>
      <c r="U26" s="108"/>
      <c r="V26" s="108"/>
      <c r="W26" s="108"/>
      <c r="X26" s="108"/>
      <c r="Y26" s="108"/>
      <c r="Z26" s="108"/>
      <c r="AA26" s="108"/>
      <c r="AB26" s="108"/>
      <c r="AC26" s="108"/>
      <c r="AD26" s="108"/>
      <c r="AE26" s="108"/>
      <c r="AF26" s="108"/>
      <c r="AG26" s="108"/>
      <c r="AH26" s="108"/>
    </row>
    <row r="27" ht="15.75" customHeight="1">
      <c r="A27" s="164">
        <v>46084.0</v>
      </c>
      <c r="B27" s="160">
        <f>'peso de las competencias'!G20</f>
        <v>0.05555555556</v>
      </c>
      <c r="C27" s="161">
        <v>0.25</v>
      </c>
      <c r="D27" s="162">
        <f t="shared" si="9"/>
        <v>0.01388888889</v>
      </c>
      <c r="E27" s="126">
        <f t="shared" si="10"/>
        <v>10</v>
      </c>
      <c r="F27" s="163">
        <f t="shared" si="11"/>
        <v>0.01388888889</v>
      </c>
      <c r="G27" s="132">
        <v>10.0</v>
      </c>
      <c r="H27" s="129"/>
      <c r="I27" s="129"/>
      <c r="J27" s="129"/>
      <c r="K27" s="130"/>
      <c r="L27" s="133">
        <v>10.0</v>
      </c>
      <c r="M27" s="130"/>
      <c r="N27" s="130"/>
      <c r="O27" s="130"/>
      <c r="P27" s="130"/>
      <c r="Q27" s="108"/>
      <c r="R27" s="108"/>
      <c r="S27" s="108"/>
      <c r="T27" s="108"/>
      <c r="U27" s="108"/>
      <c r="V27" s="108"/>
      <c r="W27" s="108"/>
      <c r="X27" s="108"/>
      <c r="Y27" s="108"/>
      <c r="Z27" s="108"/>
      <c r="AA27" s="108"/>
      <c r="AB27" s="108"/>
      <c r="AC27" s="108"/>
      <c r="AD27" s="108"/>
      <c r="AE27" s="108"/>
      <c r="AF27" s="108"/>
      <c r="AG27" s="108"/>
      <c r="AH27" s="108"/>
    </row>
    <row r="28">
      <c r="A28" s="142" t="s">
        <v>95</v>
      </c>
      <c r="B28" s="143">
        <f>SUM(B25:B27)</f>
        <v>0.1666666667</v>
      </c>
      <c r="C28" s="168"/>
      <c r="D28" s="143">
        <f>SUM(D25:D27)</f>
        <v>0.05555555556</v>
      </c>
      <c r="E28" s="169"/>
      <c r="F28" s="143">
        <f>SUM(F25:F27)</f>
        <v>0.05555555556</v>
      </c>
      <c r="G28" s="170"/>
      <c r="H28" s="170"/>
      <c r="I28" s="170"/>
      <c r="J28" s="170"/>
      <c r="K28" s="148"/>
      <c r="L28" s="148"/>
      <c r="M28" s="148"/>
      <c r="N28" s="148"/>
      <c r="O28" s="148"/>
      <c r="P28" s="148"/>
      <c r="Q28" s="108"/>
      <c r="R28" s="171" t="s">
        <v>96</v>
      </c>
      <c r="S28" s="172" t="s">
        <v>97</v>
      </c>
      <c r="T28" s="173"/>
      <c r="U28" s="171" t="s">
        <v>98</v>
      </c>
      <c r="V28" s="171" t="s">
        <v>99</v>
      </c>
      <c r="W28" s="108"/>
      <c r="X28" s="108"/>
      <c r="Y28" s="108"/>
      <c r="Z28" s="108"/>
      <c r="AA28" s="108"/>
      <c r="AB28" s="108"/>
      <c r="AC28" s="108"/>
      <c r="AD28" s="108"/>
      <c r="AE28" s="108"/>
      <c r="AF28" s="108"/>
      <c r="AG28" s="108"/>
      <c r="AH28" s="108"/>
    </row>
    <row r="29">
      <c r="A29" s="108"/>
      <c r="B29" s="108"/>
      <c r="C29" s="108"/>
      <c r="D29" s="108"/>
      <c r="E29" s="108"/>
      <c r="F29" s="108"/>
      <c r="G29" s="108"/>
      <c r="H29" s="108"/>
      <c r="I29" s="108"/>
      <c r="J29" s="108"/>
      <c r="K29" s="108"/>
      <c r="L29" s="108"/>
      <c r="M29" s="108"/>
      <c r="N29" s="108"/>
      <c r="O29" s="108"/>
      <c r="P29" s="108"/>
      <c r="Q29" s="108"/>
      <c r="R29" s="174" t="s">
        <v>100</v>
      </c>
      <c r="S29" s="175" t="s">
        <v>101</v>
      </c>
      <c r="T29" s="176" t="s">
        <v>102</v>
      </c>
      <c r="U29" s="177" t="s">
        <v>103</v>
      </c>
      <c r="V29" s="176" t="s">
        <v>104</v>
      </c>
      <c r="W29" s="108"/>
      <c r="X29" s="108"/>
      <c r="Y29" s="108"/>
      <c r="Z29" s="108"/>
      <c r="AA29" s="108"/>
      <c r="AB29" s="108"/>
      <c r="AC29" s="108"/>
      <c r="AD29" s="108"/>
      <c r="AE29" s="108"/>
      <c r="AF29" s="108"/>
      <c r="AG29" s="108"/>
      <c r="AH29" s="108"/>
    </row>
    <row r="30">
      <c r="A30" s="178"/>
      <c r="B30" s="108"/>
      <c r="C30" s="108"/>
      <c r="D30" s="108"/>
      <c r="E30" s="108"/>
      <c r="F30" s="108"/>
      <c r="G30" s="108"/>
      <c r="H30" s="108"/>
      <c r="I30" s="108"/>
      <c r="J30" s="108"/>
      <c r="K30" s="108"/>
      <c r="L30" s="108"/>
      <c r="M30" s="108"/>
      <c r="N30" s="108"/>
      <c r="O30" s="108"/>
      <c r="P30" s="108"/>
      <c r="Q30" s="108"/>
      <c r="R30" s="179"/>
      <c r="S30" s="179"/>
      <c r="T30" s="180" t="s">
        <v>105</v>
      </c>
      <c r="U30" s="181" t="s">
        <v>106</v>
      </c>
      <c r="V30" s="180" t="s">
        <v>107</v>
      </c>
      <c r="W30" s="108"/>
      <c r="X30" s="108"/>
      <c r="Y30" s="108"/>
      <c r="Z30" s="108"/>
      <c r="AA30" s="108"/>
      <c r="AB30" s="108"/>
      <c r="AC30" s="108"/>
      <c r="AD30" s="108"/>
      <c r="AE30" s="108"/>
      <c r="AF30" s="108"/>
      <c r="AG30" s="108"/>
      <c r="AH30" s="108"/>
    </row>
    <row r="31">
      <c r="A31" s="108"/>
      <c r="B31" s="108"/>
      <c r="C31" s="108"/>
      <c r="D31" s="108"/>
      <c r="E31" s="108"/>
      <c r="F31" s="108"/>
      <c r="G31" s="108"/>
      <c r="H31" s="108"/>
      <c r="I31" s="108"/>
      <c r="J31" s="108"/>
      <c r="K31" s="108"/>
      <c r="L31" s="108"/>
      <c r="M31" s="108"/>
      <c r="N31" s="108"/>
      <c r="O31" s="108"/>
      <c r="P31" s="108"/>
      <c r="Q31" s="108"/>
      <c r="R31" s="182"/>
      <c r="S31" s="182"/>
      <c r="T31" s="176" t="s">
        <v>108</v>
      </c>
      <c r="U31" s="177" t="s">
        <v>109</v>
      </c>
      <c r="V31" s="183" t="s">
        <v>110</v>
      </c>
      <c r="W31" s="108"/>
      <c r="X31" s="108"/>
      <c r="Y31" s="108"/>
      <c r="Z31" s="108"/>
      <c r="AA31" s="108"/>
      <c r="AB31" s="108"/>
      <c r="AC31" s="108"/>
      <c r="AD31" s="108"/>
      <c r="AE31" s="108"/>
      <c r="AF31" s="108"/>
      <c r="AG31" s="108"/>
      <c r="AH31" s="108"/>
    </row>
    <row r="32">
      <c r="A32" s="108"/>
      <c r="B32" s="108"/>
      <c r="C32" s="108"/>
      <c r="D32" s="108"/>
      <c r="E32" s="108"/>
      <c r="F32" s="108"/>
      <c r="G32" s="108"/>
      <c r="H32" s="108"/>
      <c r="I32" s="108"/>
      <c r="J32" s="108"/>
      <c r="K32" s="108"/>
      <c r="L32" s="108"/>
      <c r="M32" s="108"/>
      <c r="N32" s="108"/>
      <c r="O32" s="108"/>
      <c r="P32" s="108"/>
      <c r="Q32" s="108"/>
      <c r="R32" s="179"/>
      <c r="S32" s="179"/>
      <c r="T32" s="180" t="s">
        <v>111</v>
      </c>
      <c r="U32" s="181" t="s">
        <v>112</v>
      </c>
      <c r="V32" s="180" t="s">
        <v>113</v>
      </c>
      <c r="W32" s="108"/>
      <c r="X32" s="108"/>
      <c r="Y32" s="108"/>
      <c r="Z32" s="108"/>
      <c r="AA32" s="108"/>
      <c r="AB32" s="108"/>
      <c r="AC32" s="108"/>
      <c r="AD32" s="108"/>
      <c r="AE32" s="108"/>
      <c r="AF32" s="108"/>
      <c r="AG32" s="108"/>
      <c r="AH32" s="108"/>
    </row>
    <row r="33">
      <c r="A33" s="108"/>
      <c r="B33" s="108"/>
      <c r="C33" s="108"/>
      <c r="D33" s="108"/>
      <c r="E33" s="108"/>
      <c r="F33" s="108"/>
      <c r="G33" s="108"/>
      <c r="H33" s="108"/>
      <c r="I33" s="108"/>
      <c r="J33" s="108"/>
      <c r="K33" s="108"/>
      <c r="L33" s="108"/>
      <c r="M33" s="108"/>
      <c r="N33" s="108"/>
      <c r="O33" s="108"/>
      <c r="P33" s="108"/>
      <c r="Q33" s="108"/>
      <c r="R33" s="182"/>
      <c r="S33" s="182"/>
      <c r="T33" s="176" t="s">
        <v>114</v>
      </c>
      <c r="U33" s="177" t="s">
        <v>115</v>
      </c>
      <c r="V33" s="176" t="s">
        <v>116</v>
      </c>
      <c r="W33" s="108"/>
      <c r="X33" s="108"/>
      <c r="Y33" s="108"/>
      <c r="Z33" s="108"/>
      <c r="AA33" s="108"/>
      <c r="AB33" s="108"/>
      <c r="AC33" s="108"/>
      <c r="AD33" s="108"/>
      <c r="AE33" s="108"/>
      <c r="AF33" s="108"/>
      <c r="AG33" s="108"/>
      <c r="AH33" s="108"/>
    </row>
    <row r="34">
      <c r="A34" s="178"/>
      <c r="B34" s="107"/>
      <c r="C34" s="107"/>
      <c r="D34" s="107"/>
      <c r="E34" s="108"/>
      <c r="F34" s="107"/>
      <c r="G34" s="107"/>
      <c r="H34" s="107"/>
      <c r="I34" s="108"/>
      <c r="J34" s="108"/>
      <c r="K34" s="108"/>
      <c r="L34" s="108"/>
      <c r="M34" s="108"/>
      <c r="N34" s="108"/>
      <c r="O34" s="108"/>
      <c r="P34" s="108"/>
      <c r="Q34" s="108"/>
      <c r="R34" s="179"/>
      <c r="S34" s="179"/>
      <c r="T34" s="180" t="s">
        <v>117</v>
      </c>
      <c r="U34" s="184" t="s">
        <v>118</v>
      </c>
      <c r="V34" s="185" t="s">
        <v>119</v>
      </c>
      <c r="W34" s="108"/>
      <c r="X34" s="108"/>
      <c r="Y34" s="108"/>
      <c r="Z34" s="108"/>
      <c r="AA34" s="108"/>
      <c r="AB34" s="108"/>
      <c r="AC34" s="108"/>
      <c r="AD34" s="108"/>
      <c r="AE34" s="108"/>
      <c r="AF34" s="108"/>
      <c r="AG34" s="108"/>
      <c r="AH34" s="108"/>
    </row>
    <row r="35">
      <c r="A35" s="107"/>
      <c r="B35" s="107"/>
      <c r="C35" s="119"/>
      <c r="D35" s="119"/>
      <c r="E35" s="108"/>
      <c r="F35" s="186"/>
      <c r="G35" s="186"/>
      <c r="H35" s="187"/>
      <c r="I35" s="108"/>
      <c r="J35" s="108"/>
      <c r="K35" s="108"/>
      <c r="L35" s="108"/>
      <c r="M35" s="108"/>
      <c r="N35" s="108"/>
      <c r="O35" s="108"/>
      <c r="P35" s="108"/>
      <c r="Q35" s="108"/>
      <c r="R35" s="182"/>
      <c r="S35" s="182"/>
      <c r="T35" s="176" t="s">
        <v>120</v>
      </c>
      <c r="U35" s="177" t="s">
        <v>121</v>
      </c>
      <c r="V35" s="176" t="s">
        <v>122</v>
      </c>
      <c r="W35" s="108"/>
      <c r="X35" s="108"/>
      <c r="Y35" s="108"/>
      <c r="Z35" s="108"/>
      <c r="AA35" s="108"/>
      <c r="AB35" s="108"/>
      <c r="AC35" s="108"/>
      <c r="AD35" s="108"/>
      <c r="AE35" s="108"/>
      <c r="AF35" s="108"/>
      <c r="AG35" s="108"/>
      <c r="AH35" s="108"/>
    </row>
    <row r="36">
      <c r="A36" s="107"/>
      <c r="B36" s="107"/>
      <c r="C36" s="119"/>
      <c r="D36" s="119"/>
      <c r="E36" s="108"/>
      <c r="F36" s="186"/>
      <c r="G36" s="186"/>
      <c r="H36" s="187"/>
      <c r="I36" s="108"/>
      <c r="J36" s="108"/>
      <c r="K36" s="108"/>
      <c r="L36" s="108"/>
      <c r="M36" s="108"/>
      <c r="N36" s="108"/>
      <c r="O36" s="108"/>
      <c r="P36" s="108"/>
      <c r="Q36" s="108"/>
      <c r="R36" s="179"/>
      <c r="S36" s="179"/>
      <c r="T36" s="180" t="s">
        <v>123</v>
      </c>
      <c r="U36" s="181" t="s">
        <v>124</v>
      </c>
      <c r="V36" s="180" t="s">
        <v>125</v>
      </c>
      <c r="W36" s="108"/>
      <c r="X36" s="108"/>
      <c r="Y36" s="108"/>
      <c r="Z36" s="108"/>
      <c r="AA36" s="108"/>
      <c r="AB36" s="108"/>
      <c r="AC36" s="108"/>
      <c r="AD36" s="108"/>
      <c r="AE36" s="108"/>
      <c r="AF36" s="108"/>
      <c r="AG36" s="108"/>
      <c r="AH36" s="108"/>
    </row>
    <row r="37">
      <c r="A37" s="107"/>
      <c r="B37" s="107"/>
      <c r="C37" s="119"/>
      <c r="D37" s="119"/>
      <c r="E37" s="186"/>
      <c r="F37" s="186"/>
      <c r="G37" s="186"/>
      <c r="H37" s="187"/>
      <c r="I37" s="108"/>
      <c r="J37" s="108"/>
      <c r="K37" s="108"/>
      <c r="L37" s="108"/>
      <c r="M37" s="108"/>
      <c r="N37" s="108"/>
      <c r="O37" s="108"/>
      <c r="P37" s="108"/>
      <c r="Q37" s="108"/>
      <c r="R37" s="188"/>
      <c r="S37" s="188"/>
      <c r="T37" s="176" t="s">
        <v>126</v>
      </c>
      <c r="U37" s="189" t="s">
        <v>127</v>
      </c>
      <c r="V37" s="183" t="s">
        <v>128</v>
      </c>
      <c r="W37" s="108"/>
      <c r="X37" s="108"/>
      <c r="Y37" s="108"/>
      <c r="Z37" s="108"/>
      <c r="AA37" s="108"/>
      <c r="AB37" s="108"/>
      <c r="AC37" s="108"/>
      <c r="AD37" s="108"/>
      <c r="AE37" s="108"/>
      <c r="AF37" s="108"/>
      <c r="AG37" s="108"/>
      <c r="AH37" s="108"/>
    </row>
    <row r="38">
      <c r="A38" s="107"/>
      <c r="B38" s="107"/>
      <c r="C38" s="119"/>
      <c r="D38" s="119"/>
      <c r="E38" s="186"/>
      <c r="F38" s="186"/>
      <c r="G38" s="186"/>
      <c r="H38" s="119"/>
      <c r="I38" s="108"/>
      <c r="J38" s="108"/>
      <c r="K38" s="108"/>
      <c r="L38" s="108"/>
      <c r="M38" s="108"/>
      <c r="N38" s="108"/>
      <c r="O38" s="108"/>
      <c r="P38" s="108"/>
      <c r="Q38" s="108"/>
      <c r="R38" s="190" t="s">
        <v>129</v>
      </c>
      <c r="S38" s="191" t="s">
        <v>130</v>
      </c>
      <c r="T38" s="180"/>
      <c r="U38" s="181" t="s">
        <v>131</v>
      </c>
      <c r="V38" s="180" t="s">
        <v>132</v>
      </c>
      <c r="W38" s="108"/>
      <c r="X38" s="108"/>
      <c r="Y38" s="108"/>
      <c r="Z38" s="108"/>
      <c r="AA38" s="108"/>
      <c r="AB38" s="108"/>
      <c r="AC38" s="108"/>
      <c r="AD38" s="108"/>
      <c r="AE38" s="108"/>
      <c r="AF38" s="108"/>
      <c r="AG38" s="108"/>
      <c r="AH38" s="108"/>
    </row>
    <row r="39">
      <c r="A39" s="107"/>
      <c r="B39" s="107"/>
      <c r="C39" s="119"/>
      <c r="D39" s="119"/>
      <c r="E39" s="186"/>
      <c r="F39" s="186"/>
      <c r="G39" s="186"/>
      <c r="H39" s="119"/>
      <c r="I39" s="108"/>
      <c r="J39" s="108"/>
      <c r="K39" s="108"/>
      <c r="L39" s="108"/>
      <c r="M39" s="108"/>
      <c r="N39" s="108"/>
      <c r="O39" s="108"/>
      <c r="P39" s="108"/>
      <c r="Q39" s="108"/>
      <c r="R39" s="192" t="s">
        <v>133</v>
      </c>
      <c r="S39" s="193" t="s">
        <v>134</v>
      </c>
      <c r="T39" s="176"/>
      <c r="U39" s="177" t="s">
        <v>135</v>
      </c>
      <c r="V39" s="176" t="s">
        <v>136</v>
      </c>
      <c r="W39" s="108"/>
      <c r="X39" s="108"/>
      <c r="Y39" s="108"/>
      <c r="Z39" s="108"/>
      <c r="AA39" s="108"/>
      <c r="AB39" s="108"/>
      <c r="AC39" s="108"/>
      <c r="AD39" s="108"/>
      <c r="AE39" s="108"/>
      <c r="AF39" s="108"/>
      <c r="AG39" s="108"/>
      <c r="AH39" s="108"/>
    </row>
    <row r="40">
      <c r="A40" s="107"/>
      <c r="B40" s="107"/>
      <c r="C40" s="119"/>
      <c r="D40" s="119"/>
      <c r="E40" s="108"/>
      <c r="F40" s="186"/>
      <c r="G40" s="186"/>
      <c r="H40" s="119"/>
      <c r="I40" s="108"/>
      <c r="J40" s="108"/>
      <c r="K40" s="108"/>
      <c r="L40" s="108"/>
      <c r="M40" s="108"/>
      <c r="N40" s="108"/>
      <c r="O40" s="108"/>
      <c r="P40" s="108"/>
      <c r="Q40" s="108"/>
      <c r="R40" s="190" t="s">
        <v>137</v>
      </c>
      <c r="S40" s="191" t="s">
        <v>138</v>
      </c>
      <c r="T40" s="180"/>
      <c r="U40" s="181" t="s">
        <v>139</v>
      </c>
      <c r="V40" s="180" t="s">
        <v>140</v>
      </c>
      <c r="W40" s="108"/>
      <c r="X40" s="108"/>
      <c r="Y40" s="108"/>
      <c r="Z40" s="108"/>
      <c r="AA40" s="108"/>
      <c r="AB40" s="108"/>
      <c r="AC40" s="108"/>
      <c r="AD40" s="108"/>
      <c r="AE40" s="108"/>
      <c r="AF40" s="108"/>
      <c r="AG40" s="108"/>
      <c r="AH40" s="108"/>
    </row>
    <row r="41">
      <c r="A41" s="107"/>
      <c r="B41" s="107"/>
      <c r="C41" s="107"/>
      <c r="D41" s="107"/>
      <c r="E41" s="108"/>
      <c r="F41" s="194"/>
      <c r="G41" s="194"/>
      <c r="H41" s="195"/>
      <c r="I41" s="108"/>
      <c r="J41" s="108"/>
      <c r="K41" s="108"/>
      <c r="L41" s="108"/>
      <c r="M41" s="108"/>
      <c r="N41" s="108"/>
      <c r="O41" s="108"/>
      <c r="P41" s="108"/>
      <c r="Q41" s="108"/>
      <c r="R41" s="192" t="s">
        <v>141</v>
      </c>
      <c r="S41" s="193" t="s">
        <v>142</v>
      </c>
      <c r="T41" s="176"/>
      <c r="U41" s="177" t="s">
        <v>139</v>
      </c>
      <c r="V41" s="176" t="s">
        <v>143</v>
      </c>
      <c r="W41" s="108"/>
      <c r="X41" s="108"/>
      <c r="Y41" s="108"/>
      <c r="Z41" s="108"/>
      <c r="AA41" s="108"/>
      <c r="AB41" s="108"/>
      <c r="AC41" s="108"/>
      <c r="AD41" s="108"/>
      <c r="AE41" s="108"/>
      <c r="AF41" s="108"/>
      <c r="AG41" s="108"/>
      <c r="AH41" s="108"/>
    </row>
    <row r="42">
      <c r="A42" s="196"/>
      <c r="B42" s="196"/>
      <c r="C42" s="196"/>
      <c r="D42" s="196"/>
      <c r="E42" s="196"/>
      <c r="F42" s="196"/>
      <c r="G42" s="196"/>
      <c r="H42" s="196"/>
      <c r="I42" s="196"/>
      <c r="J42" s="196"/>
      <c r="K42" s="196"/>
      <c r="L42" s="196"/>
      <c r="M42" s="196"/>
      <c r="N42" s="196"/>
      <c r="O42" s="196"/>
      <c r="P42" s="196"/>
      <c r="Q42" s="196"/>
      <c r="R42" s="190" t="s">
        <v>144</v>
      </c>
      <c r="S42" s="191" t="s">
        <v>145</v>
      </c>
      <c r="T42" s="180"/>
      <c r="U42" s="181" t="s">
        <v>146</v>
      </c>
      <c r="V42" s="180" t="s">
        <v>147</v>
      </c>
      <c r="W42" s="196"/>
      <c r="X42" s="196"/>
      <c r="Y42" s="196"/>
      <c r="Z42" s="196"/>
      <c r="AA42" s="196"/>
      <c r="AB42" s="196"/>
      <c r="AC42" s="196"/>
      <c r="AD42" s="196"/>
      <c r="AE42" s="196"/>
      <c r="AF42" s="196"/>
      <c r="AG42" s="196"/>
      <c r="AH42" s="196"/>
    </row>
    <row r="43">
      <c r="A43" s="108"/>
      <c r="B43" s="108"/>
      <c r="C43" s="108"/>
      <c r="D43" s="108"/>
      <c r="E43" s="108"/>
      <c r="F43" s="108"/>
      <c r="G43" s="108"/>
      <c r="H43" s="108"/>
      <c r="I43" s="108"/>
      <c r="J43" s="108"/>
      <c r="K43" s="108"/>
      <c r="L43" s="108"/>
      <c r="M43" s="108"/>
      <c r="N43" s="108"/>
      <c r="O43" s="108"/>
      <c r="P43" s="108"/>
      <c r="Q43" s="108"/>
      <c r="R43" s="192" t="s">
        <v>148</v>
      </c>
      <c r="S43" s="193" t="s">
        <v>149</v>
      </c>
      <c r="T43" s="176"/>
      <c r="U43" s="177" t="s">
        <v>150</v>
      </c>
      <c r="V43" s="176" t="s">
        <v>151</v>
      </c>
      <c r="W43" s="108"/>
      <c r="X43" s="108"/>
      <c r="Y43" s="108"/>
      <c r="Z43" s="108"/>
      <c r="AA43" s="108"/>
      <c r="AB43" s="108"/>
      <c r="AC43" s="108"/>
      <c r="AD43" s="108"/>
      <c r="AE43" s="108"/>
      <c r="AF43" s="108"/>
      <c r="AG43" s="108"/>
      <c r="AH43" s="108"/>
    </row>
    <row r="44">
      <c r="A44" s="108"/>
      <c r="B44" s="108"/>
      <c r="C44" s="108"/>
      <c r="D44" s="108"/>
      <c r="E44" s="108"/>
      <c r="F44" s="108"/>
      <c r="G44" s="108"/>
      <c r="H44" s="108"/>
      <c r="I44" s="108"/>
      <c r="J44" s="108"/>
      <c r="K44" s="108"/>
      <c r="L44" s="108"/>
      <c r="M44" s="108"/>
      <c r="N44" s="108"/>
      <c r="O44" s="108"/>
      <c r="P44" s="108"/>
      <c r="Q44" s="108"/>
      <c r="R44" s="190" t="s">
        <v>152</v>
      </c>
      <c r="S44" s="191" t="s">
        <v>153</v>
      </c>
      <c r="T44" s="180"/>
      <c r="U44" s="181" t="s">
        <v>103</v>
      </c>
      <c r="V44" s="180" t="s">
        <v>154</v>
      </c>
      <c r="W44" s="108"/>
      <c r="X44" s="108"/>
      <c r="Y44" s="108"/>
      <c r="Z44" s="108"/>
      <c r="AA44" s="108"/>
      <c r="AB44" s="108"/>
      <c r="AC44" s="108"/>
      <c r="AD44" s="108"/>
      <c r="AE44" s="108"/>
      <c r="AF44" s="108"/>
      <c r="AG44" s="108"/>
      <c r="AH44" s="108"/>
    </row>
    <row r="45">
      <c r="A45" s="108"/>
      <c r="B45" s="108"/>
      <c r="C45" s="108"/>
      <c r="D45" s="108"/>
      <c r="E45" s="108"/>
      <c r="F45" s="108"/>
      <c r="G45" s="108"/>
      <c r="H45" s="108"/>
      <c r="I45" s="108"/>
      <c r="J45" s="108"/>
      <c r="K45" s="108"/>
      <c r="L45" s="108"/>
      <c r="M45" s="108"/>
      <c r="N45" s="108"/>
      <c r="O45" s="108"/>
      <c r="P45" s="108"/>
      <c r="Q45" s="108"/>
      <c r="R45" s="192" t="s">
        <v>155</v>
      </c>
      <c r="S45" s="193" t="s">
        <v>156</v>
      </c>
      <c r="T45" s="176"/>
      <c r="U45" s="177" t="s">
        <v>157</v>
      </c>
      <c r="V45" s="176" t="s">
        <v>158</v>
      </c>
      <c r="W45" s="108"/>
      <c r="X45" s="108"/>
      <c r="Y45" s="108"/>
      <c r="Z45" s="108"/>
      <c r="AA45" s="108"/>
      <c r="AB45" s="108"/>
      <c r="AC45" s="108"/>
      <c r="AD45" s="108"/>
      <c r="AE45" s="108"/>
      <c r="AF45" s="108"/>
      <c r="AG45" s="108"/>
      <c r="AH45" s="108"/>
    </row>
    <row r="46">
      <c r="A46" s="108"/>
      <c r="B46" s="108"/>
      <c r="C46" s="108"/>
      <c r="D46" s="108"/>
      <c r="E46" s="108"/>
      <c r="F46" s="108"/>
      <c r="G46" s="108"/>
      <c r="H46" s="108"/>
      <c r="I46" s="108"/>
      <c r="J46" s="108"/>
      <c r="K46" s="108"/>
      <c r="L46" s="108"/>
      <c r="M46" s="108"/>
      <c r="N46" s="108"/>
      <c r="O46" s="108"/>
      <c r="P46" s="108"/>
      <c r="Q46" s="108"/>
      <c r="R46" s="190" t="s">
        <v>159</v>
      </c>
      <c r="S46" s="191" t="s">
        <v>160</v>
      </c>
      <c r="T46" s="180"/>
      <c r="U46" s="181" t="s">
        <v>103</v>
      </c>
      <c r="V46" s="180" t="s">
        <v>161</v>
      </c>
      <c r="W46" s="108"/>
      <c r="X46" s="108"/>
      <c r="Y46" s="108"/>
      <c r="Z46" s="108"/>
      <c r="AA46" s="108"/>
      <c r="AB46" s="108"/>
      <c r="AC46" s="108"/>
      <c r="AD46" s="108"/>
      <c r="AE46" s="108"/>
      <c r="AF46" s="108"/>
      <c r="AG46" s="108"/>
      <c r="AH46" s="108"/>
    </row>
    <row r="47">
      <c r="A47" s="108"/>
      <c r="B47" s="108"/>
      <c r="C47" s="108"/>
      <c r="D47" s="108"/>
      <c r="E47" s="108"/>
      <c r="F47" s="108"/>
      <c r="G47" s="108"/>
      <c r="H47" s="108"/>
      <c r="I47" s="108"/>
      <c r="J47" s="108"/>
      <c r="K47" s="108"/>
      <c r="L47" s="108"/>
      <c r="M47" s="108"/>
      <c r="N47" s="108"/>
      <c r="O47" s="108"/>
      <c r="P47" s="108"/>
      <c r="Q47" s="108"/>
      <c r="W47" s="108"/>
      <c r="X47" s="108"/>
      <c r="Y47" s="108"/>
      <c r="Z47" s="108"/>
      <c r="AA47" s="108"/>
      <c r="AB47" s="108"/>
      <c r="AC47" s="108"/>
      <c r="AD47" s="108"/>
      <c r="AE47" s="108"/>
      <c r="AF47" s="108"/>
      <c r="AG47" s="108"/>
      <c r="AH47" s="108"/>
    </row>
    <row r="48">
      <c r="A48" s="108"/>
      <c r="B48" s="108"/>
      <c r="C48" s="108"/>
      <c r="D48" s="108"/>
      <c r="E48" s="108"/>
      <c r="F48" s="108"/>
      <c r="G48" s="108"/>
      <c r="H48" s="108"/>
      <c r="I48" s="108"/>
      <c r="J48" s="108"/>
      <c r="K48" s="108"/>
      <c r="L48" s="108"/>
      <c r="M48" s="108"/>
      <c r="N48" s="108"/>
      <c r="O48" s="108"/>
      <c r="P48" s="108"/>
      <c r="Q48" s="108"/>
      <c r="W48" s="108"/>
      <c r="X48" s="108"/>
      <c r="Y48" s="108"/>
      <c r="Z48" s="108"/>
      <c r="AA48" s="108"/>
      <c r="AB48" s="108"/>
      <c r="AC48" s="108"/>
      <c r="AD48" s="108"/>
      <c r="AE48" s="108"/>
      <c r="AF48" s="108"/>
      <c r="AG48" s="108"/>
      <c r="AH48" s="108"/>
    </row>
    <row r="49">
      <c r="A49" s="108"/>
      <c r="B49" s="108"/>
      <c r="C49" s="108"/>
      <c r="D49" s="108"/>
      <c r="E49" s="108"/>
      <c r="F49" s="108"/>
      <c r="G49" s="108"/>
      <c r="H49" s="108"/>
      <c r="I49" s="108"/>
      <c r="J49" s="108"/>
      <c r="K49" s="108"/>
      <c r="L49" s="108"/>
      <c r="M49" s="108"/>
      <c r="N49" s="108"/>
      <c r="O49" s="108"/>
      <c r="P49" s="108"/>
      <c r="Q49" s="108"/>
      <c r="W49" s="108"/>
      <c r="X49" s="108"/>
      <c r="Y49" s="108"/>
      <c r="Z49" s="108"/>
      <c r="AA49" s="108"/>
      <c r="AB49" s="108"/>
      <c r="AC49" s="108"/>
      <c r="AD49" s="108"/>
      <c r="AE49" s="108"/>
      <c r="AF49" s="108"/>
      <c r="AG49" s="108"/>
      <c r="AH49" s="108"/>
    </row>
    <row r="50">
      <c r="A50" s="108"/>
      <c r="B50" s="108"/>
      <c r="C50" s="108"/>
      <c r="D50" s="108"/>
      <c r="E50" s="108"/>
      <c r="F50" s="108"/>
      <c r="G50" s="108"/>
      <c r="H50" s="108"/>
      <c r="I50" s="108"/>
      <c r="J50" s="108"/>
      <c r="K50" s="108"/>
      <c r="L50" s="108"/>
      <c r="M50" s="108"/>
      <c r="N50" s="108"/>
      <c r="O50" s="108"/>
      <c r="P50" s="108"/>
      <c r="Q50" s="108"/>
      <c r="W50" s="108"/>
      <c r="X50" s="108"/>
      <c r="Y50" s="108"/>
      <c r="Z50" s="108"/>
      <c r="AA50" s="108"/>
      <c r="AB50" s="108"/>
      <c r="AC50" s="108"/>
      <c r="AD50" s="108"/>
      <c r="AE50" s="108"/>
      <c r="AF50" s="108"/>
      <c r="AG50" s="108"/>
      <c r="AH50" s="108"/>
    </row>
    <row r="51">
      <c r="A51" s="108"/>
      <c r="B51" s="108"/>
      <c r="C51" s="108"/>
      <c r="D51" s="108"/>
      <c r="E51" s="108"/>
      <c r="F51" s="108"/>
      <c r="G51" s="108"/>
      <c r="H51" s="108"/>
      <c r="I51" s="108"/>
      <c r="J51" s="108"/>
      <c r="K51" s="108"/>
      <c r="L51" s="108"/>
      <c r="M51" s="108"/>
      <c r="N51" s="108"/>
      <c r="O51" s="108"/>
      <c r="P51" s="108"/>
      <c r="Q51" s="108"/>
      <c r="W51" s="108"/>
      <c r="X51" s="108"/>
      <c r="Y51" s="108"/>
      <c r="Z51" s="108"/>
      <c r="AA51" s="108"/>
      <c r="AB51" s="108"/>
      <c r="AC51" s="108"/>
      <c r="AD51" s="108"/>
      <c r="AE51" s="108"/>
      <c r="AF51" s="108"/>
      <c r="AG51" s="108"/>
      <c r="AH51" s="108"/>
    </row>
    <row r="52">
      <c r="A52" s="108"/>
      <c r="B52" s="108"/>
      <c r="C52" s="108"/>
      <c r="D52" s="108"/>
      <c r="E52" s="108"/>
      <c r="F52" s="108"/>
      <c r="G52" s="108"/>
      <c r="H52" s="108"/>
      <c r="I52" s="108"/>
      <c r="J52" s="108"/>
      <c r="K52" s="108"/>
      <c r="L52" s="108"/>
      <c r="M52" s="108"/>
      <c r="N52" s="108"/>
      <c r="O52" s="108"/>
      <c r="P52" s="108"/>
      <c r="Q52" s="108"/>
      <c r="W52" s="108"/>
      <c r="X52" s="108"/>
      <c r="Y52" s="108"/>
      <c r="Z52" s="108"/>
      <c r="AA52" s="108"/>
      <c r="AB52" s="108"/>
      <c r="AC52" s="108"/>
      <c r="AD52" s="108"/>
      <c r="AE52" s="108"/>
      <c r="AF52" s="108"/>
      <c r="AG52" s="108"/>
      <c r="AH52" s="108"/>
    </row>
    <row r="53">
      <c r="A53" s="108"/>
      <c r="B53" s="108"/>
      <c r="C53" s="108"/>
      <c r="D53" s="108"/>
      <c r="E53" s="108"/>
      <c r="F53" s="108"/>
      <c r="G53" s="108"/>
      <c r="H53" s="108"/>
      <c r="I53" s="108"/>
      <c r="J53" s="108"/>
      <c r="K53" s="108"/>
      <c r="L53" s="108"/>
      <c r="M53" s="108"/>
      <c r="N53" s="108"/>
      <c r="O53" s="108"/>
      <c r="P53" s="108"/>
      <c r="Q53" s="108"/>
      <c r="W53" s="108"/>
      <c r="X53" s="108"/>
      <c r="Y53" s="108"/>
      <c r="Z53" s="108"/>
      <c r="AA53" s="108"/>
      <c r="AB53" s="108"/>
      <c r="AC53" s="108"/>
      <c r="AD53" s="108"/>
      <c r="AE53" s="108"/>
      <c r="AF53" s="108"/>
      <c r="AG53" s="108"/>
      <c r="AH53" s="108"/>
    </row>
    <row r="54">
      <c r="A54" s="108"/>
      <c r="B54" s="108"/>
      <c r="C54" s="108"/>
      <c r="D54" s="108"/>
      <c r="E54" s="108"/>
      <c r="F54" s="108"/>
      <c r="G54" s="108"/>
      <c r="H54" s="108"/>
      <c r="I54" s="108"/>
      <c r="J54" s="108"/>
      <c r="K54" s="108"/>
      <c r="L54" s="108"/>
      <c r="M54" s="108"/>
      <c r="N54" s="108"/>
      <c r="O54" s="108"/>
      <c r="P54" s="108"/>
      <c r="Q54" s="108"/>
      <c r="W54" s="108"/>
      <c r="X54" s="108"/>
      <c r="Y54" s="108"/>
      <c r="Z54" s="108"/>
      <c r="AA54" s="108"/>
      <c r="AB54" s="108"/>
      <c r="AC54" s="108"/>
      <c r="AD54" s="108"/>
      <c r="AE54" s="108"/>
      <c r="AF54" s="108"/>
      <c r="AG54" s="108"/>
      <c r="AH54" s="108"/>
    </row>
    <row r="55">
      <c r="A55" s="108"/>
      <c r="B55" s="108"/>
      <c r="C55" s="108"/>
      <c r="D55" s="108"/>
      <c r="E55" s="108"/>
      <c r="F55" s="108"/>
      <c r="G55" s="108"/>
      <c r="H55" s="108"/>
      <c r="I55" s="108"/>
      <c r="J55" s="108"/>
      <c r="K55" s="108"/>
      <c r="L55" s="108"/>
      <c r="M55" s="108"/>
      <c r="N55" s="108"/>
      <c r="O55" s="108"/>
      <c r="P55" s="108"/>
      <c r="Q55" s="108"/>
      <c r="W55" s="108"/>
      <c r="X55" s="108"/>
      <c r="Y55" s="108"/>
      <c r="Z55" s="108"/>
      <c r="AA55" s="108"/>
      <c r="AB55" s="108"/>
      <c r="AC55" s="108"/>
      <c r="AD55" s="108"/>
      <c r="AE55" s="108"/>
      <c r="AF55" s="108"/>
      <c r="AG55" s="108"/>
      <c r="AH55" s="108"/>
    </row>
    <row r="56">
      <c r="A56" s="108"/>
      <c r="B56" s="108"/>
      <c r="C56" s="108"/>
      <c r="D56" s="108"/>
      <c r="E56" s="108"/>
      <c r="F56" s="108"/>
      <c r="G56" s="108"/>
      <c r="H56" s="108"/>
      <c r="I56" s="108"/>
      <c r="J56" s="108"/>
      <c r="K56" s="108"/>
      <c r="L56" s="108"/>
      <c r="M56" s="108"/>
      <c r="N56" s="108"/>
      <c r="O56" s="108"/>
      <c r="P56" s="108"/>
      <c r="Q56" s="108"/>
      <c r="W56" s="108"/>
      <c r="X56" s="108"/>
      <c r="Y56" s="108"/>
      <c r="Z56" s="108"/>
      <c r="AA56" s="108"/>
      <c r="AB56" s="108"/>
      <c r="AC56" s="108"/>
      <c r="AD56" s="108"/>
      <c r="AE56" s="108"/>
      <c r="AF56" s="108"/>
      <c r="AG56" s="108"/>
      <c r="AH56" s="108"/>
    </row>
    <row r="57">
      <c r="A57" s="108"/>
      <c r="B57" s="108"/>
      <c r="C57" s="108"/>
      <c r="D57" s="108"/>
      <c r="E57" s="108"/>
      <c r="F57" s="108"/>
      <c r="G57" s="108"/>
      <c r="H57" s="108"/>
      <c r="I57" s="108"/>
      <c r="J57" s="108"/>
      <c r="K57" s="108"/>
      <c r="L57" s="108"/>
      <c r="M57" s="108"/>
      <c r="N57" s="108"/>
      <c r="O57" s="108"/>
      <c r="P57" s="108"/>
      <c r="Q57" s="108"/>
      <c r="W57" s="108"/>
      <c r="X57" s="108"/>
      <c r="Y57" s="108"/>
      <c r="Z57" s="108"/>
      <c r="AA57" s="108"/>
      <c r="AB57" s="108"/>
      <c r="AC57" s="108"/>
      <c r="AD57" s="108"/>
      <c r="AE57" s="108"/>
      <c r="AF57" s="108"/>
      <c r="AG57" s="108"/>
      <c r="AH57" s="108"/>
    </row>
    <row r="58">
      <c r="A58" s="108"/>
      <c r="B58" s="108"/>
      <c r="C58" s="108"/>
      <c r="D58" s="108"/>
      <c r="E58" s="108"/>
      <c r="F58" s="108"/>
      <c r="G58" s="108"/>
      <c r="H58" s="108"/>
      <c r="I58" s="108"/>
      <c r="J58" s="108"/>
      <c r="K58" s="108"/>
      <c r="L58" s="108"/>
      <c r="M58" s="108"/>
      <c r="N58" s="108"/>
      <c r="O58" s="108"/>
      <c r="P58" s="108"/>
      <c r="Q58" s="108"/>
      <c r="W58" s="108"/>
      <c r="X58" s="108"/>
      <c r="Y58" s="108"/>
      <c r="Z58" s="108"/>
      <c r="AA58" s="108"/>
      <c r="AB58" s="108"/>
      <c r="AC58" s="108"/>
      <c r="AD58" s="108"/>
      <c r="AE58" s="108"/>
      <c r="AF58" s="108"/>
      <c r="AG58" s="108"/>
      <c r="AH58" s="108"/>
    </row>
    <row r="59">
      <c r="A59" s="108"/>
      <c r="B59" s="108"/>
      <c r="C59" s="108"/>
      <c r="D59" s="108"/>
      <c r="E59" s="108"/>
      <c r="F59" s="108"/>
      <c r="G59" s="108"/>
      <c r="H59" s="108"/>
      <c r="I59" s="108"/>
      <c r="J59" s="108"/>
      <c r="K59" s="108"/>
      <c r="L59" s="108"/>
      <c r="M59" s="108"/>
      <c r="N59" s="108"/>
      <c r="O59" s="108"/>
      <c r="P59" s="108"/>
      <c r="Q59" s="108"/>
      <c r="W59" s="108"/>
      <c r="X59" s="108"/>
      <c r="Y59" s="108"/>
      <c r="Z59" s="108"/>
      <c r="AA59" s="108"/>
      <c r="AB59" s="108"/>
      <c r="AC59" s="108"/>
      <c r="AD59" s="108"/>
      <c r="AE59" s="108"/>
      <c r="AF59" s="108"/>
      <c r="AG59" s="108"/>
      <c r="AH59" s="108"/>
    </row>
    <row r="60">
      <c r="A60" s="108"/>
      <c r="B60" s="108"/>
      <c r="C60" s="108"/>
      <c r="D60" s="108"/>
      <c r="E60" s="108"/>
      <c r="F60" s="108"/>
      <c r="G60" s="108"/>
      <c r="H60" s="108"/>
      <c r="I60" s="108"/>
      <c r="J60" s="108"/>
      <c r="K60" s="108"/>
      <c r="L60" s="108"/>
      <c r="M60" s="108"/>
      <c r="N60" s="108"/>
      <c r="O60" s="108"/>
      <c r="P60" s="108"/>
      <c r="Q60" s="108"/>
      <c r="W60" s="108"/>
      <c r="X60" s="108"/>
      <c r="Y60" s="108"/>
      <c r="Z60" s="108"/>
      <c r="AA60" s="108"/>
      <c r="AB60" s="108"/>
      <c r="AC60" s="108"/>
      <c r="AD60" s="108"/>
      <c r="AE60" s="108"/>
      <c r="AF60" s="108"/>
      <c r="AG60" s="108"/>
      <c r="AH60" s="108"/>
    </row>
    <row r="61" ht="15.75"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c r="AA61" s="108"/>
      <c r="AB61" s="108"/>
      <c r="AC61" s="108"/>
      <c r="AD61" s="108"/>
      <c r="AE61" s="108"/>
      <c r="AF61" s="108"/>
      <c r="AG61" s="108"/>
      <c r="AH61" s="108"/>
    </row>
    <row r="62" ht="15.75"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c r="AA62" s="108"/>
      <c r="AB62" s="108"/>
      <c r="AC62" s="108"/>
      <c r="AD62" s="108"/>
      <c r="AE62" s="108"/>
      <c r="AF62" s="108"/>
      <c r="AG62" s="108"/>
      <c r="AH62" s="108"/>
    </row>
    <row r="63" ht="15.75"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c r="AA63" s="108"/>
      <c r="AB63" s="108"/>
      <c r="AC63" s="108"/>
      <c r="AD63" s="108"/>
      <c r="AE63" s="108"/>
      <c r="AF63" s="108"/>
      <c r="AG63" s="108"/>
      <c r="AH63" s="108"/>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sheetData>
  <mergeCells count="6">
    <mergeCell ref="G5:P5"/>
    <mergeCell ref="G15:P15"/>
    <mergeCell ref="G23:P23"/>
    <mergeCell ref="S28:T28"/>
    <mergeCell ref="R29:R37"/>
    <mergeCell ref="S29:S37"/>
  </mergeCells>
  <printOptions/>
  <pageMargins bottom="0.75" footer="0.0" header="0.0" left="0.25" right="0.25" top="0.75"/>
  <pageSetup paperSize="9" orientation="landscape"/>
  <drawing r:id="rId1"/>
  <tableParts count="4">
    <tablePart r:id="rId6"/>
    <tablePart r:id="rId7"/>
    <tablePart r:id="rId8"/>
    <tablePart r:id="rId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6.43"/>
    <col customWidth="1" min="2" max="2" width="15.57"/>
    <col customWidth="1" min="3" max="3" width="10.71"/>
    <col customWidth="1" min="4" max="4" width="14.0"/>
    <col customWidth="1" min="5" max="5" width="14.14"/>
    <col customWidth="1" min="6" max="6" width="14.71"/>
    <col customWidth="1" min="7" max="7" width="15.43"/>
    <col customWidth="1" min="9" max="9" width="12.57"/>
    <col customWidth="1" min="10" max="10" width="12.14"/>
    <col customWidth="1" min="11" max="12" width="12.0"/>
    <col customWidth="1" min="13" max="13" width="10.71"/>
    <col customWidth="1" min="14" max="14" width="15.0"/>
    <col customWidth="1" min="15" max="15" width="34.29"/>
    <col customWidth="1" min="16" max="16" width="29.71"/>
    <col customWidth="1" min="17" max="17" width="79.71"/>
    <col customWidth="1" min="18" max="30" width="10.71"/>
  </cols>
  <sheetData>
    <row r="1">
      <c r="A1" s="197" t="s">
        <v>162</v>
      </c>
      <c r="B1" s="108"/>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row>
    <row r="2">
      <c r="A2" s="108"/>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row>
    <row r="3">
      <c r="A3" s="108"/>
      <c r="B3" s="108"/>
      <c r="C3" s="108"/>
      <c r="D3" s="108"/>
      <c r="E3" s="108"/>
      <c r="F3" s="108"/>
      <c r="G3" s="108"/>
      <c r="H3" s="108"/>
      <c r="I3" s="108"/>
      <c r="J3" s="108"/>
      <c r="K3" s="108"/>
      <c r="L3" s="108"/>
      <c r="M3" s="108"/>
      <c r="R3" s="108"/>
      <c r="S3" s="108"/>
      <c r="T3" s="108"/>
      <c r="U3" s="108"/>
      <c r="V3" s="108"/>
      <c r="W3" s="108"/>
      <c r="X3" s="108"/>
      <c r="Y3" s="108"/>
      <c r="Z3" s="108"/>
      <c r="AA3" s="108"/>
      <c r="AB3" s="108"/>
      <c r="AC3" s="108"/>
      <c r="AD3" s="108"/>
    </row>
    <row r="4">
      <c r="A4" s="108"/>
      <c r="B4" s="108"/>
      <c r="C4" s="108"/>
      <c r="D4" s="108"/>
      <c r="E4" s="108"/>
      <c r="F4" s="108"/>
      <c r="G4" s="108"/>
      <c r="H4" s="108"/>
      <c r="I4" s="108"/>
      <c r="J4" s="108"/>
      <c r="K4" s="108"/>
      <c r="L4" s="108"/>
      <c r="M4" s="108"/>
      <c r="R4" s="108"/>
      <c r="S4" s="108"/>
      <c r="T4" s="108"/>
      <c r="U4" s="108"/>
      <c r="V4" s="108"/>
      <c r="W4" s="108"/>
      <c r="X4" s="108"/>
      <c r="Y4" s="108"/>
      <c r="Z4" s="108"/>
      <c r="AA4" s="108"/>
      <c r="AB4" s="108"/>
      <c r="AC4" s="108"/>
      <c r="AD4" s="108"/>
    </row>
    <row r="5">
      <c r="A5" s="108"/>
      <c r="B5" s="108"/>
      <c r="C5" s="108"/>
      <c r="D5" s="108"/>
      <c r="E5" s="108"/>
      <c r="F5" s="111"/>
      <c r="G5" s="112" t="s">
        <v>71</v>
      </c>
      <c r="H5" s="3"/>
      <c r="I5" s="3"/>
      <c r="J5" s="3"/>
      <c r="K5" s="3"/>
      <c r="L5" s="3"/>
      <c r="M5" s="108"/>
      <c r="N5" s="113" t="s">
        <v>58</v>
      </c>
      <c r="O5" s="113" t="s">
        <v>59</v>
      </c>
      <c r="P5" s="114" t="s">
        <v>163</v>
      </c>
      <c r="Q5" s="114" t="s">
        <v>164</v>
      </c>
      <c r="R5" s="108"/>
      <c r="S5" s="108"/>
      <c r="T5" s="108"/>
      <c r="U5" s="108"/>
      <c r="V5" s="108"/>
      <c r="W5" s="108"/>
      <c r="X5" s="108"/>
      <c r="Y5" s="108"/>
      <c r="Z5" s="108"/>
      <c r="AA5" s="108"/>
      <c r="AB5" s="108"/>
      <c r="AC5" s="108"/>
      <c r="AD5" s="108"/>
    </row>
    <row r="6">
      <c r="A6" s="115" t="s">
        <v>74</v>
      </c>
      <c r="B6" s="116" t="s">
        <v>75</v>
      </c>
      <c r="C6" s="115" t="s">
        <v>76</v>
      </c>
      <c r="D6" s="116" t="s">
        <v>163</v>
      </c>
      <c r="E6" s="117" t="s">
        <v>93</v>
      </c>
      <c r="F6" s="117" t="s">
        <v>78</v>
      </c>
      <c r="G6" s="115" t="s">
        <v>79</v>
      </c>
      <c r="H6" s="115" t="s">
        <v>80</v>
      </c>
      <c r="I6" s="115" t="s">
        <v>81</v>
      </c>
      <c r="J6" s="115" t="s">
        <v>82</v>
      </c>
      <c r="K6" s="118" t="s">
        <v>83</v>
      </c>
      <c r="L6" s="117" t="s">
        <v>84</v>
      </c>
      <c r="M6" s="198"/>
      <c r="N6" s="120" t="s">
        <v>5</v>
      </c>
      <c r="O6" s="121">
        <f t="shared" ref="O6:O11" si="1">1/6</f>
        <v>0.1666666667</v>
      </c>
      <c r="P6" s="121">
        <f>D13</f>
        <v>0.03472222222</v>
      </c>
      <c r="Q6" s="121">
        <f>F13</f>
        <v>0.03472222222</v>
      </c>
      <c r="R6" s="108"/>
      <c r="S6" s="108"/>
      <c r="T6" s="108"/>
      <c r="U6" s="108"/>
      <c r="V6" s="108"/>
      <c r="W6" s="108"/>
      <c r="X6" s="108"/>
      <c r="Y6" s="108"/>
      <c r="Z6" s="108"/>
      <c r="AA6" s="108"/>
      <c r="AB6" s="108"/>
      <c r="AC6" s="108"/>
      <c r="AD6" s="108"/>
    </row>
    <row r="7">
      <c r="A7" s="122">
        <v>46023.0</v>
      </c>
      <c r="B7" s="123">
        <f>'peso de las competencias'!G4</f>
        <v>0.02777777778</v>
      </c>
      <c r="C7" s="124">
        <v>0.25</v>
      </c>
      <c r="D7" s="125">
        <f t="shared" ref="D7:D12" si="2">C7*B7</f>
        <v>0.006944444444</v>
      </c>
      <c r="E7" s="126">
        <f t="shared" ref="E7:E12" si="3">IF($C7=0, 0, IFERROR(SUM($G7:$L7)/COUNT($G7:$L7), 0))</f>
        <v>10</v>
      </c>
      <c r="F7" s="127">
        <f t="shared" ref="F7:F12" si="4">(E7/10)*D7</f>
        <v>0.006944444444</v>
      </c>
      <c r="G7" s="128">
        <v>10.0</v>
      </c>
      <c r="H7" s="129"/>
      <c r="I7" s="129"/>
      <c r="J7" s="129"/>
      <c r="K7" s="130"/>
      <c r="L7" s="130"/>
      <c r="M7" s="108"/>
      <c r="N7" s="120" t="s">
        <v>6</v>
      </c>
      <c r="O7" s="121">
        <f t="shared" si="1"/>
        <v>0.1666666667</v>
      </c>
      <c r="P7" s="121">
        <f>D21</f>
        <v>0.01041666667</v>
      </c>
      <c r="Q7" s="121">
        <f>F21</f>
        <v>0.01041666667</v>
      </c>
      <c r="R7" s="108"/>
      <c r="S7" s="108"/>
      <c r="T7" s="108"/>
      <c r="U7" s="108"/>
      <c r="V7" s="108"/>
      <c r="W7" s="108"/>
      <c r="X7" s="108"/>
      <c r="Y7" s="108"/>
      <c r="Z7" s="108"/>
      <c r="AA7" s="108"/>
      <c r="AB7" s="108"/>
      <c r="AC7" s="108"/>
      <c r="AD7" s="108"/>
    </row>
    <row r="8">
      <c r="A8" s="122">
        <v>46054.0</v>
      </c>
      <c r="B8" s="123">
        <f>'peso de las competencias'!G5</f>
        <v>0.02777777778</v>
      </c>
      <c r="C8" s="124">
        <v>0.25</v>
      </c>
      <c r="D8" s="131">
        <f t="shared" si="2"/>
        <v>0.006944444444</v>
      </c>
      <c r="E8" s="126">
        <f t="shared" si="3"/>
        <v>10</v>
      </c>
      <c r="F8" s="127">
        <f t="shared" si="4"/>
        <v>0.006944444444</v>
      </c>
      <c r="G8" s="132">
        <v>10.0</v>
      </c>
      <c r="H8" s="133"/>
      <c r="I8" s="129"/>
      <c r="J8" s="129"/>
      <c r="K8" s="130"/>
      <c r="L8" s="130"/>
      <c r="M8" s="108"/>
      <c r="N8" s="120" t="s">
        <v>7</v>
      </c>
      <c r="O8" s="121">
        <f t="shared" si="1"/>
        <v>0.1666666667</v>
      </c>
      <c r="P8" s="121">
        <f>D28</f>
        <v>0.02777777778</v>
      </c>
      <c r="Q8" s="121">
        <f>F28</f>
        <v>0.02777777778</v>
      </c>
      <c r="R8" s="108"/>
      <c r="S8" s="108"/>
      <c r="T8" s="108"/>
      <c r="U8" s="108"/>
      <c r="V8" s="108"/>
      <c r="W8" s="108"/>
      <c r="X8" s="108"/>
      <c r="Y8" s="108"/>
      <c r="Z8" s="108"/>
      <c r="AA8" s="108"/>
      <c r="AB8" s="108"/>
      <c r="AC8" s="108"/>
      <c r="AD8" s="108"/>
    </row>
    <row r="9">
      <c r="A9" s="122">
        <v>46082.0</v>
      </c>
      <c r="B9" s="123">
        <f>'peso de las competencias'!G6</f>
        <v>0.02777777778</v>
      </c>
      <c r="C9" s="124">
        <v>0.25</v>
      </c>
      <c r="D9" s="131">
        <f t="shared" si="2"/>
        <v>0.006944444444</v>
      </c>
      <c r="E9" s="126">
        <f t="shared" si="3"/>
        <v>10</v>
      </c>
      <c r="F9" s="127">
        <f t="shared" si="4"/>
        <v>0.006944444444</v>
      </c>
      <c r="G9" s="132"/>
      <c r="H9" s="129"/>
      <c r="I9" s="129"/>
      <c r="J9" s="199">
        <v>10.0</v>
      </c>
      <c r="K9" s="130"/>
      <c r="L9" s="200">
        <v>10.0</v>
      </c>
      <c r="M9" s="108"/>
      <c r="N9" s="120" t="s">
        <v>8</v>
      </c>
      <c r="O9" s="121">
        <f t="shared" si="1"/>
        <v>0.1666666667</v>
      </c>
      <c r="P9" s="134">
        <f>D36</f>
        <v>0.08333333333</v>
      </c>
      <c r="Q9" s="134">
        <f>F36</f>
        <v>0.08333333333</v>
      </c>
      <c r="R9" s="108"/>
      <c r="S9" s="108"/>
      <c r="T9" s="108"/>
      <c r="U9" s="108"/>
      <c r="V9" s="108"/>
      <c r="W9" s="108"/>
      <c r="X9" s="108"/>
      <c r="Y9" s="108"/>
      <c r="Z9" s="108"/>
      <c r="AA9" s="108"/>
      <c r="AB9" s="108"/>
      <c r="AC9" s="108"/>
      <c r="AD9" s="108"/>
    </row>
    <row r="10">
      <c r="A10" s="136">
        <v>46113.0</v>
      </c>
      <c r="B10" s="123">
        <f>'peso de las competencias'!G7</f>
        <v>0.02777777778</v>
      </c>
      <c r="C10" s="124">
        <v>0.25</v>
      </c>
      <c r="D10" s="131">
        <f t="shared" si="2"/>
        <v>0.006944444444</v>
      </c>
      <c r="E10" s="126">
        <f t="shared" si="3"/>
        <v>10</v>
      </c>
      <c r="F10" s="127">
        <f t="shared" si="4"/>
        <v>0.006944444444</v>
      </c>
      <c r="G10" s="132"/>
      <c r="H10" s="199"/>
      <c r="I10" s="129"/>
      <c r="J10" s="129"/>
      <c r="K10" s="130"/>
      <c r="L10" s="200">
        <v>10.0</v>
      </c>
      <c r="M10" s="108"/>
      <c r="N10" s="120" t="s">
        <v>9</v>
      </c>
      <c r="O10" s="121">
        <f t="shared" si="1"/>
        <v>0.1666666667</v>
      </c>
      <c r="P10" s="134">
        <v>0.0</v>
      </c>
      <c r="Q10" s="134">
        <v>0.0</v>
      </c>
      <c r="R10" s="108"/>
      <c r="S10" s="108"/>
      <c r="T10" s="108"/>
      <c r="U10" s="108"/>
      <c r="V10" s="108"/>
      <c r="W10" s="108"/>
      <c r="X10" s="108"/>
      <c r="Y10" s="108"/>
      <c r="Z10" s="108"/>
      <c r="AA10" s="108"/>
      <c r="AB10" s="108"/>
      <c r="AC10" s="108"/>
      <c r="AD10" s="108"/>
    </row>
    <row r="11">
      <c r="A11" s="136">
        <v>46143.0</v>
      </c>
      <c r="B11" s="123">
        <f>'peso de las competencias'!G8</f>
        <v>0.02777777778</v>
      </c>
      <c r="C11" s="124">
        <v>0.0</v>
      </c>
      <c r="D11" s="131">
        <f t="shared" si="2"/>
        <v>0</v>
      </c>
      <c r="E11" s="126">
        <f t="shared" si="3"/>
        <v>0</v>
      </c>
      <c r="F11" s="127">
        <f t="shared" si="4"/>
        <v>0</v>
      </c>
      <c r="G11" s="132"/>
      <c r="H11" s="129"/>
      <c r="I11" s="129"/>
      <c r="J11" s="129"/>
      <c r="K11" s="130"/>
      <c r="L11" s="130"/>
      <c r="M11" s="108"/>
      <c r="N11" s="120" t="s">
        <v>10</v>
      </c>
      <c r="O11" s="121">
        <f t="shared" si="1"/>
        <v>0.1666666667</v>
      </c>
      <c r="P11" s="134">
        <f>D44</f>
        <v>0.04166666667</v>
      </c>
      <c r="Q11" s="137">
        <f>F44</f>
        <v>0.04166666667</v>
      </c>
      <c r="R11" s="108"/>
      <c r="S11" s="108"/>
      <c r="T11" s="108"/>
      <c r="U11" s="108"/>
      <c r="V11" s="108"/>
      <c r="W11" s="108"/>
      <c r="X11" s="108"/>
      <c r="Y11" s="108"/>
      <c r="Z11" s="108"/>
      <c r="AA11" s="108"/>
      <c r="AB11" s="108"/>
      <c r="AC11" s="108"/>
      <c r="AD11" s="108"/>
    </row>
    <row r="12">
      <c r="A12" s="136">
        <v>46174.0</v>
      </c>
      <c r="B12" s="123">
        <f>'peso de las competencias'!G9</f>
        <v>0.02777777778</v>
      </c>
      <c r="C12" s="124">
        <v>0.25</v>
      </c>
      <c r="D12" s="131">
        <f t="shared" si="2"/>
        <v>0.006944444444</v>
      </c>
      <c r="E12" s="126">
        <f t="shared" si="3"/>
        <v>10</v>
      </c>
      <c r="F12" s="127">
        <f t="shared" si="4"/>
        <v>0.006944444444</v>
      </c>
      <c r="G12" s="132"/>
      <c r="H12" s="199">
        <v>10.0</v>
      </c>
      <c r="I12" s="129"/>
      <c r="J12" s="129"/>
      <c r="K12" s="130"/>
      <c r="L12" s="130"/>
      <c r="M12" s="108"/>
      <c r="N12" s="138" t="s">
        <v>89</v>
      </c>
      <c r="O12" s="139">
        <f t="shared" ref="O12:Q12" si="5">SUM(O6:O11)</f>
        <v>1</v>
      </c>
      <c r="P12" s="140">
        <f t="shared" si="5"/>
        <v>0.1979166667</v>
      </c>
      <c r="Q12" s="201">
        <f t="shared" si="5"/>
        <v>0.1979166667</v>
      </c>
      <c r="R12" s="108"/>
      <c r="S12" s="108"/>
      <c r="T12" s="108"/>
      <c r="U12" s="108"/>
      <c r="V12" s="108"/>
      <c r="W12" s="108"/>
      <c r="X12" s="108"/>
      <c r="Y12" s="108"/>
      <c r="Z12" s="108"/>
      <c r="AA12" s="108"/>
      <c r="AB12" s="108"/>
      <c r="AC12" s="108"/>
      <c r="AD12" s="108"/>
    </row>
    <row r="13">
      <c r="A13" s="142" t="s">
        <v>90</v>
      </c>
      <c r="B13" s="143">
        <f>SUM(B7:B12)</f>
        <v>0.1666666667</v>
      </c>
      <c r="C13" s="144"/>
      <c r="D13" s="143">
        <f>SUM(D7:D12)</f>
        <v>0.03472222222</v>
      </c>
      <c r="E13" s="145"/>
      <c r="F13" s="143">
        <f>SUM(F7:F12)</f>
        <v>0.03472222222</v>
      </c>
      <c r="G13" s="146"/>
      <c r="H13" s="146"/>
      <c r="I13" s="146"/>
      <c r="J13" s="146"/>
      <c r="K13" s="147"/>
      <c r="L13" s="147"/>
      <c r="M13" s="108"/>
      <c r="N13" s="148"/>
      <c r="O13" s="202" t="s">
        <v>70</v>
      </c>
      <c r="P13" s="203">
        <f>'1ªEV'!T12</f>
        <v>0.21875</v>
      </c>
      <c r="Q13" s="204">
        <f>'1ªEV'!U12</f>
        <v>0.21875</v>
      </c>
      <c r="R13" s="108"/>
      <c r="S13" s="108"/>
      <c r="T13" s="108"/>
      <c r="U13" s="108"/>
      <c r="V13" s="108"/>
      <c r="W13" s="108"/>
      <c r="X13" s="108"/>
      <c r="Y13" s="108"/>
      <c r="Z13" s="108"/>
      <c r="AA13" s="108"/>
      <c r="AB13" s="108"/>
      <c r="AC13" s="108"/>
      <c r="AD13" s="108"/>
    </row>
    <row r="14">
      <c r="A14" s="108"/>
      <c r="B14" s="108"/>
      <c r="C14" s="108"/>
      <c r="D14" s="108"/>
      <c r="E14" s="108"/>
      <c r="F14" s="108"/>
      <c r="G14" s="108"/>
      <c r="H14" s="108"/>
      <c r="I14" s="108"/>
      <c r="J14" s="108"/>
      <c r="K14" s="108"/>
      <c r="L14" s="108"/>
      <c r="M14" s="108"/>
      <c r="N14" s="150"/>
      <c r="O14" s="205" t="s">
        <v>165</v>
      </c>
      <c r="P14" s="206">
        <f t="shared" ref="P14:Q14" si="6">SUM(P12:P13)</f>
        <v>0.4166666667</v>
      </c>
      <c r="Q14" s="206">
        <f t="shared" si="6"/>
        <v>0.4166666667</v>
      </c>
      <c r="R14" s="108"/>
      <c r="S14" s="108"/>
      <c r="T14" s="108"/>
      <c r="U14" s="108"/>
      <c r="V14" s="108"/>
      <c r="W14" s="108"/>
      <c r="X14" s="108"/>
      <c r="Y14" s="108"/>
      <c r="Z14" s="108"/>
      <c r="AA14" s="108"/>
      <c r="AB14" s="108"/>
      <c r="AC14" s="108"/>
      <c r="AD14" s="108"/>
    </row>
    <row r="15">
      <c r="A15" s="108"/>
      <c r="B15" s="108"/>
      <c r="C15" s="108"/>
      <c r="D15" s="108"/>
      <c r="E15" s="108"/>
      <c r="F15" s="111"/>
      <c r="G15" s="112" t="s">
        <v>71</v>
      </c>
      <c r="H15" s="3"/>
      <c r="I15" s="3"/>
      <c r="J15" s="3"/>
      <c r="K15" s="3"/>
      <c r="L15" s="3"/>
      <c r="M15" s="108"/>
      <c r="N15" s="207"/>
      <c r="O15" s="208"/>
      <c r="P15" s="152" t="s">
        <v>166</v>
      </c>
      <c r="Q15" s="153">
        <f>IF(P14=0, 0, (Q14/P14)*10)</f>
        <v>10</v>
      </c>
      <c r="R15" s="108"/>
      <c r="S15" s="108"/>
      <c r="T15" s="108"/>
      <c r="U15" s="108"/>
      <c r="V15" s="108"/>
      <c r="W15" s="108"/>
      <c r="X15" s="108"/>
      <c r="Y15" s="108"/>
      <c r="Z15" s="108"/>
      <c r="AA15" s="108"/>
      <c r="AB15" s="108"/>
      <c r="AC15" s="108"/>
      <c r="AD15" s="108"/>
    </row>
    <row r="16">
      <c r="A16" s="155" t="s">
        <v>74</v>
      </c>
      <c r="B16" s="156" t="s">
        <v>75</v>
      </c>
      <c r="C16" s="155" t="s">
        <v>76</v>
      </c>
      <c r="D16" s="116" t="s">
        <v>163</v>
      </c>
      <c r="E16" s="155" t="s">
        <v>93</v>
      </c>
      <c r="F16" s="157" t="s">
        <v>78</v>
      </c>
      <c r="G16" s="155" t="s">
        <v>79</v>
      </c>
      <c r="H16" s="155" t="s">
        <v>80</v>
      </c>
      <c r="I16" s="155" t="s">
        <v>81</v>
      </c>
      <c r="J16" s="155" t="s">
        <v>82</v>
      </c>
      <c r="K16" s="118" t="s">
        <v>83</v>
      </c>
      <c r="L16" s="117" t="s">
        <v>84</v>
      </c>
      <c r="M16" s="198"/>
      <c r="N16" s="111"/>
      <c r="O16" s="111"/>
      <c r="P16" s="119"/>
      <c r="Q16" s="108"/>
      <c r="R16" s="108"/>
      <c r="S16" s="108"/>
      <c r="T16" s="108"/>
      <c r="U16" s="108"/>
      <c r="V16" s="108"/>
      <c r="W16" s="108"/>
      <c r="X16" s="108"/>
      <c r="Y16" s="108"/>
      <c r="Z16" s="108"/>
      <c r="AA16" s="108"/>
      <c r="AB16" s="108"/>
      <c r="AC16" s="108"/>
      <c r="AD16" s="108"/>
    </row>
    <row r="17">
      <c r="A17" s="159">
        <v>46024.0</v>
      </c>
      <c r="B17" s="160">
        <f>'peso de las competencias'!G12</f>
        <v>0.04166666667</v>
      </c>
      <c r="C17" s="161">
        <v>0.0</v>
      </c>
      <c r="D17" s="162">
        <f t="shared" ref="D17:D20" si="7">C17*B17</f>
        <v>0</v>
      </c>
      <c r="E17" s="126">
        <f t="shared" ref="E17:E20" si="8">IF($C17=0, 0, IFERROR(SUM($G17:$L17)/COUNT($G17:$L17), 0))</f>
        <v>0</v>
      </c>
      <c r="F17" s="163">
        <f t="shared" ref="F17:F20" si="9">(E17/10)*D17</f>
        <v>0</v>
      </c>
      <c r="G17" s="133"/>
      <c r="H17" s="129"/>
      <c r="I17" s="133"/>
      <c r="J17" s="129"/>
      <c r="K17" s="130"/>
      <c r="L17" s="130"/>
      <c r="M17" s="108"/>
      <c r="N17" s="111"/>
      <c r="O17" s="111"/>
      <c r="P17" s="119"/>
      <c r="Q17" s="108"/>
      <c r="R17" s="108"/>
      <c r="S17" s="108"/>
      <c r="T17" s="108"/>
      <c r="U17" s="108"/>
      <c r="V17" s="108"/>
      <c r="W17" s="108"/>
      <c r="X17" s="108"/>
      <c r="Y17" s="108"/>
      <c r="Z17" s="108"/>
      <c r="AA17" s="108"/>
      <c r="AB17" s="108"/>
      <c r="AC17" s="108"/>
      <c r="AD17" s="108"/>
    </row>
    <row r="18">
      <c r="A18" s="159">
        <v>46055.0</v>
      </c>
      <c r="B18" s="160">
        <f>'peso de las competencias'!G13</f>
        <v>0.04166666667</v>
      </c>
      <c r="C18" s="161">
        <v>0.25</v>
      </c>
      <c r="D18" s="162">
        <f t="shared" si="7"/>
        <v>0.01041666667</v>
      </c>
      <c r="E18" s="126">
        <f t="shared" si="8"/>
        <v>10</v>
      </c>
      <c r="F18" s="163">
        <f t="shared" si="9"/>
        <v>0.01041666667</v>
      </c>
      <c r="G18" s="133"/>
      <c r="H18" s="129"/>
      <c r="I18" s="129"/>
      <c r="J18" s="133">
        <v>10.0</v>
      </c>
      <c r="K18" s="133"/>
      <c r="L18" s="133"/>
      <c r="M18" s="108"/>
      <c r="N18" s="111"/>
      <c r="O18" s="111"/>
      <c r="P18" s="119"/>
      <c r="Q18" s="108"/>
      <c r="R18" s="108"/>
      <c r="S18" s="108"/>
      <c r="T18" s="108"/>
      <c r="U18" s="108"/>
      <c r="V18" s="108"/>
      <c r="W18" s="108"/>
      <c r="X18" s="108"/>
      <c r="Y18" s="108"/>
      <c r="Z18" s="108"/>
      <c r="AA18" s="108"/>
      <c r="AB18" s="108"/>
      <c r="AC18" s="108"/>
      <c r="AD18" s="108"/>
    </row>
    <row r="19">
      <c r="A19" s="164">
        <v>46083.0</v>
      </c>
      <c r="B19" s="160">
        <f>'peso de las competencias'!G14</f>
        <v>0.04166666667</v>
      </c>
      <c r="C19" s="161">
        <v>0.0</v>
      </c>
      <c r="D19" s="162">
        <f t="shared" si="7"/>
        <v>0</v>
      </c>
      <c r="E19" s="126">
        <f t="shared" si="8"/>
        <v>0</v>
      </c>
      <c r="F19" s="163">
        <f t="shared" si="9"/>
        <v>0</v>
      </c>
      <c r="G19" s="133"/>
      <c r="H19" s="129"/>
      <c r="I19" s="129"/>
      <c r="J19" s="129"/>
      <c r="K19" s="129"/>
      <c r="L19" s="129"/>
      <c r="M19" s="108"/>
      <c r="N19" s="111"/>
      <c r="O19" s="111"/>
      <c r="P19" s="119"/>
      <c r="Q19" s="108"/>
      <c r="R19" s="108"/>
      <c r="S19" s="108"/>
      <c r="T19" s="108"/>
      <c r="U19" s="108"/>
      <c r="V19" s="108"/>
      <c r="W19" s="108"/>
      <c r="X19" s="108"/>
      <c r="Y19" s="108"/>
      <c r="Z19" s="108"/>
      <c r="AA19" s="108"/>
      <c r="AB19" s="108"/>
      <c r="AC19" s="108"/>
      <c r="AD19" s="108"/>
    </row>
    <row r="20">
      <c r="A20" s="164">
        <v>46114.0</v>
      </c>
      <c r="B20" s="160">
        <f>'peso de las competencias'!G15</f>
        <v>0.04166666667</v>
      </c>
      <c r="C20" s="161">
        <v>0.0</v>
      </c>
      <c r="D20" s="162">
        <f t="shared" si="7"/>
        <v>0</v>
      </c>
      <c r="E20" s="126">
        <f t="shared" si="8"/>
        <v>0</v>
      </c>
      <c r="F20" s="163">
        <f t="shared" si="9"/>
        <v>0</v>
      </c>
      <c r="G20" s="133"/>
      <c r="H20" s="129"/>
      <c r="I20" s="129"/>
      <c r="J20" s="199"/>
      <c r="K20" s="129"/>
      <c r="L20" s="129"/>
      <c r="M20" s="108"/>
      <c r="N20" s="111"/>
      <c r="O20" s="111"/>
      <c r="P20" s="119"/>
      <c r="Q20" s="108"/>
      <c r="R20" s="108"/>
      <c r="S20" s="108"/>
      <c r="T20" s="108"/>
      <c r="U20" s="108"/>
      <c r="V20" s="108"/>
      <c r="W20" s="108"/>
      <c r="X20" s="108"/>
      <c r="Y20" s="108"/>
      <c r="Z20" s="108"/>
      <c r="AA20" s="108"/>
      <c r="AB20" s="108"/>
      <c r="AC20" s="108"/>
      <c r="AD20" s="108"/>
    </row>
    <row r="21" ht="15.75" customHeight="1">
      <c r="A21" s="142" t="s">
        <v>94</v>
      </c>
      <c r="B21" s="143">
        <f>SUM(B17:B20)</f>
        <v>0.1666666667</v>
      </c>
      <c r="C21" s="144"/>
      <c r="D21" s="143">
        <f>SUM(D17:D20)</f>
        <v>0.01041666667</v>
      </c>
      <c r="E21" s="145"/>
      <c r="F21" s="143">
        <f>SUM(F17:F20)</f>
        <v>0.01041666667</v>
      </c>
      <c r="G21" s="146"/>
      <c r="H21" s="146"/>
      <c r="I21" s="146"/>
      <c r="J21" s="146"/>
      <c r="K21" s="147"/>
      <c r="L21" s="147"/>
      <c r="M21" s="108"/>
      <c r="N21" s="165"/>
      <c r="O21" s="166"/>
      <c r="P21" s="119"/>
      <c r="Q21" s="108"/>
      <c r="R21" s="108"/>
      <c r="S21" s="108"/>
      <c r="T21" s="108"/>
      <c r="U21" s="108"/>
      <c r="V21" s="108"/>
      <c r="W21" s="108"/>
      <c r="X21" s="108"/>
      <c r="Y21" s="108"/>
      <c r="Z21" s="108"/>
      <c r="AA21" s="108"/>
      <c r="AB21" s="108"/>
      <c r="AC21" s="108"/>
      <c r="AD21" s="108"/>
    </row>
    <row r="22" ht="15.75"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c r="AA22" s="108"/>
      <c r="AB22" s="108"/>
      <c r="AC22" s="108"/>
      <c r="AD22" s="108"/>
    </row>
    <row r="23" ht="15.75" customHeight="1">
      <c r="A23" s="108"/>
      <c r="B23" s="108"/>
      <c r="C23" s="108"/>
      <c r="D23" s="108"/>
      <c r="E23" s="108"/>
      <c r="F23" s="111"/>
      <c r="G23" s="112" t="s">
        <v>71</v>
      </c>
      <c r="H23" s="3"/>
      <c r="I23" s="3"/>
      <c r="J23" s="3"/>
      <c r="K23" s="3"/>
      <c r="L23" s="3"/>
      <c r="M23" s="108"/>
      <c r="N23" s="108"/>
      <c r="O23" s="108"/>
      <c r="P23" s="108"/>
      <c r="Q23" s="108"/>
      <c r="R23" s="108"/>
      <c r="S23" s="108"/>
      <c r="T23" s="108"/>
      <c r="U23" s="108"/>
      <c r="V23" s="108"/>
      <c r="W23" s="108"/>
      <c r="X23" s="108"/>
      <c r="Y23" s="108"/>
      <c r="Z23" s="108"/>
      <c r="AA23" s="108"/>
      <c r="AB23" s="108"/>
      <c r="AC23" s="108"/>
      <c r="AD23" s="108"/>
    </row>
    <row r="24">
      <c r="A24" s="155" t="s">
        <v>74</v>
      </c>
      <c r="B24" s="156" t="s">
        <v>75</v>
      </c>
      <c r="C24" s="155" t="s">
        <v>76</v>
      </c>
      <c r="D24" s="116" t="s">
        <v>163</v>
      </c>
      <c r="E24" s="155" t="s">
        <v>93</v>
      </c>
      <c r="F24" s="157" t="s">
        <v>78</v>
      </c>
      <c r="G24" s="155" t="s">
        <v>79</v>
      </c>
      <c r="H24" s="155" t="s">
        <v>80</v>
      </c>
      <c r="I24" s="155" t="s">
        <v>81</v>
      </c>
      <c r="J24" s="155" t="s">
        <v>82</v>
      </c>
      <c r="K24" s="118" t="s">
        <v>83</v>
      </c>
      <c r="L24" s="117" t="s">
        <v>84</v>
      </c>
      <c r="M24" s="198"/>
      <c r="N24" s="108"/>
      <c r="O24" s="108"/>
      <c r="P24" s="108"/>
      <c r="Q24" s="108"/>
      <c r="R24" s="108"/>
      <c r="S24" s="108"/>
      <c r="T24" s="108"/>
      <c r="U24" s="108"/>
      <c r="V24" s="108"/>
      <c r="W24" s="108"/>
      <c r="X24" s="108"/>
      <c r="Y24" s="108"/>
      <c r="Z24" s="108"/>
      <c r="AA24" s="108"/>
      <c r="AB24" s="108"/>
      <c r="AC24" s="108"/>
      <c r="AD24" s="108"/>
    </row>
    <row r="25" ht="15.75" customHeight="1">
      <c r="A25" s="159">
        <v>46025.0</v>
      </c>
      <c r="B25" s="160">
        <f>'peso de las competencias'!G18</f>
        <v>0.05555555556</v>
      </c>
      <c r="C25" s="161">
        <v>0.25</v>
      </c>
      <c r="D25" s="162">
        <f t="shared" ref="D25:D27" si="10">C25*B25</f>
        <v>0.01388888889</v>
      </c>
      <c r="E25" s="126">
        <f t="shared" ref="E25:E27" si="11">IF($C25=0, 0, IFERROR(SUM($G25:$L25)/COUNT($G25:$L25), 0))</f>
        <v>10</v>
      </c>
      <c r="F25" s="163">
        <f t="shared" ref="F25:F27" si="12">(E25/10)*D25</f>
        <v>0.01388888889</v>
      </c>
      <c r="G25" s="133"/>
      <c r="H25" s="129"/>
      <c r="I25" s="129"/>
      <c r="J25" s="129"/>
      <c r="K25" s="200">
        <v>10.0</v>
      </c>
      <c r="L25" s="130"/>
      <c r="M25" s="108"/>
      <c r="N25" s="108"/>
      <c r="O25" s="108"/>
      <c r="P25" s="108"/>
      <c r="Q25" s="108"/>
      <c r="R25" s="108"/>
      <c r="S25" s="108"/>
      <c r="T25" s="108"/>
      <c r="U25" s="108"/>
      <c r="V25" s="108"/>
      <c r="W25" s="108"/>
      <c r="X25" s="108"/>
      <c r="Y25" s="108"/>
      <c r="Z25" s="108"/>
      <c r="AA25" s="108"/>
      <c r="AB25" s="108"/>
      <c r="AC25" s="108"/>
      <c r="AD25" s="108"/>
    </row>
    <row r="26" ht="15.75" customHeight="1">
      <c r="A26" s="159">
        <v>46056.0</v>
      </c>
      <c r="B26" s="160">
        <f>'peso de las competencias'!G19</f>
        <v>0.05555555556</v>
      </c>
      <c r="C26" s="167">
        <v>0.0</v>
      </c>
      <c r="D26" s="162">
        <f t="shared" si="10"/>
        <v>0</v>
      </c>
      <c r="E26" s="126">
        <f t="shared" si="11"/>
        <v>0</v>
      </c>
      <c r="F26" s="163">
        <f t="shared" si="12"/>
        <v>0</v>
      </c>
      <c r="G26" s="129"/>
      <c r="H26" s="129"/>
      <c r="I26" s="199">
        <v>10.0</v>
      </c>
      <c r="J26" s="129"/>
      <c r="K26" s="130"/>
      <c r="L26" s="130"/>
      <c r="M26" s="108"/>
      <c r="N26" s="108"/>
      <c r="O26" s="108"/>
      <c r="P26" s="108"/>
      <c r="Q26" s="108"/>
      <c r="R26" s="108"/>
      <c r="S26" s="108"/>
      <c r="T26" s="108"/>
      <c r="U26" s="108"/>
      <c r="V26" s="108"/>
      <c r="W26" s="108"/>
      <c r="X26" s="108"/>
      <c r="Y26" s="108"/>
      <c r="Z26" s="108"/>
      <c r="AA26" s="108"/>
      <c r="AB26" s="108"/>
      <c r="AC26" s="108"/>
      <c r="AD26" s="108"/>
    </row>
    <row r="27" ht="15.75" customHeight="1">
      <c r="A27" s="164">
        <v>46084.0</v>
      </c>
      <c r="B27" s="160">
        <f>'peso de las competencias'!G20</f>
        <v>0.05555555556</v>
      </c>
      <c r="C27" s="161">
        <v>0.25</v>
      </c>
      <c r="D27" s="162">
        <f t="shared" si="10"/>
        <v>0.01388888889</v>
      </c>
      <c r="E27" s="126">
        <f t="shared" si="11"/>
        <v>10</v>
      </c>
      <c r="F27" s="163">
        <f t="shared" si="12"/>
        <v>0.01388888889</v>
      </c>
      <c r="G27" s="133"/>
      <c r="H27" s="129"/>
      <c r="I27" s="199">
        <v>10.0</v>
      </c>
      <c r="J27" s="129"/>
      <c r="K27" s="200"/>
      <c r="L27" s="200"/>
      <c r="M27" s="108"/>
      <c r="N27" s="108"/>
      <c r="O27" s="108"/>
      <c r="P27" s="108"/>
      <c r="Q27" s="108"/>
      <c r="R27" s="108"/>
      <c r="S27" s="108"/>
      <c r="T27" s="108"/>
      <c r="U27" s="108"/>
      <c r="V27" s="108"/>
      <c r="W27" s="108"/>
      <c r="X27" s="108"/>
      <c r="Y27" s="108"/>
      <c r="Z27" s="108"/>
      <c r="AA27" s="108"/>
      <c r="AB27" s="108"/>
      <c r="AC27" s="108"/>
      <c r="AD27" s="108"/>
    </row>
    <row r="28" ht="15.75" customHeight="1">
      <c r="A28" s="142" t="s">
        <v>95</v>
      </c>
      <c r="B28" s="143">
        <f>SUM(B25:B27)</f>
        <v>0.1666666667</v>
      </c>
      <c r="C28" s="168"/>
      <c r="D28" s="143">
        <f>SUM(D25:D27)</f>
        <v>0.02777777778</v>
      </c>
      <c r="E28" s="169"/>
      <c r="F28" s="143">
        <f>SUM(F25:F27)</f>
        <v>0.02777777778</v>
      </c>
      <c r="G28" s="170"/>
      <c r="H28" s="170"/>
      <c r="I28" s="170"/>
      <c r="J28" s="170"/>
      <c r="K28" s="148"/>
      <c r="L28" s="148"/>
      <c r="M28" s="108"/>
      <c r="N28" s="108"/>
      <c r="O28" s="108"/>
      <c r="P28" s="108"/>
      <c r="Q28" s="108"/>
      <c r="R28" s="108"/>
      <c r="S28" s="108"/>
      <c r="T28" s="108"/>
      <c r="U28" s="108"/>
      <c r="V28" s="108"/>
      <c r="W28" s="108"/>
      <c r="X28" s="108"/>
      <c r="Y28" s="108"/>
      <c r="Z28" s="108"/>
      <c r="AA28" s="108"/>
      <c r="AB28" s="108"/>
      <c r="AC28" s="108"/>
      <c r="AD28" s="108"/>
    </row>
    <row r="29" ht="15.75"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c r="AA29" s="108"/>
      <c r="AB29" s="108"/>
      <c r="AC29" s="108"/>
      <c r="AD29" s="108"/>
    </row>
    <row r="30" ht="15.75" customHeight="1">
      <c r="A30" s="108"/>
      <c r="B30" s="108"/>
      <c r="C30" s="108"/>
      <c r="D30" s="108"/>
      <c r="E30" s="108"/>
      <c r="F30" s="111"/>
      <c r="G30" s="112" t="s">
        <v>71</v>
      </c>
      <c r="H30" s="3"/>
      <c r="I30" s="3"/>
      <c r="J30" s="3"/>
      <c r="K30" s="3"/>
      <c r="L30" s="3"/>
      <c r="M30" s="108"/>
      <c r="N30" s="108"/>
      <c r="O30" s="108"/>
      <c r="P30" s="108"/>
      <c r="Q30" s="108"/>
      <c r="R30" s="108"/>
      <c r="S30" s="108"/>
      <c r="T30" s="108"/>
      <c r="U30" s="108"/>
      <c r="V30" s="108"/>
      <c r="W30" s="108"/>
      <c r="X30" s="108"/>
      <c r="Y30" s="108"/>
      <c r="Z30" s="108"/>
      <c r="AA30" s="108"/>
      <c r="AB30" s="108"/>
      <c r="AC30" s="108"/>
      <c r="AD30" s="108"/>
    </row>
    <row r="31">
      <c r="A31" s="155" t="s">
        <v>74</v>
      </c>
      <c r="B31" s="156" t="s">
        <v>75</v>
      </c>
      <c r="C31" s="155" t="s">
        <v>76</v>
      </c>
      <c r="D31" s="116" t="s">
        <v>163</v>
      </c>
      <c r="E31" s="155" t="s">
        <v>93</v>
      </c>
      <c r="F31" s="157" t="s">
        <v>78</v>
      </c>
      <c r="G31" s="155" t="s">
        <v>79</v>
      </c>
      <c r="H31" s="155" t="s">
        <v>80</v>
      </c>
      <c r="I31" s="155" t="s">
        <v>81</v>
      </c>
      <c r="J31" s="155" t="s">
        <v>82</v>
      </c>
      <c r="K31" s="118" t="s">
        <v>83</v>
      </c>
      <c r="L31" s="117" t="s">
        <v>84</v>
      </c>
      <c r="M31" s="198"/>
      <c r="N31" s="108"/>
      <c r="O31" s="108"/>
      <c r="P31" s="108"/>
      <c r="Q31" s="108"/>
      <c r="R31" s="108"/>
      <c r="S31" s="108"/>
      <c r="T31" s="108"/>
      <c r="U31" s="108"/>
      <c r="V31" s="108"/>
      <c r="W31" s="108"/>
      <c r="X31" s="108"/>
      <c r="Y31" s="108"/>
      <c r="Z31" s="108"/>
      <c r="AA31" s="108"/>
      <c r="AB31" s="108"/>
      <c r="AC31" s="108"/>
      <c r="AD31" s="108"/>
    </row>
    <row r="32" ht="15.75" customHeight="1">
      <c r="A32" s="159">
        <v>46026.0</v>
      </c>
      <c r="B32" s="160">
        <f>'peso de las competencias'!G23</f>
        <v>0.04166666667</v>
      </c>
      <c r="C32" s="161">
        <v>1.0</v>
      </c>
      <c r="D32" s="162">
        <f t="shared" ref="D32:D35" si="13">C32*B32</f>
        <v>0.04166666667</v>
      </c>
      <c r="E32" s="126">
        <f t="shared" ref="E32:E35" si="14">IF($C32=0, 0, IFERROR(SUM($G32:$L32)/COUNT($G32:$L32), 0))</f>
        <v>10</v>
      </c>
      <c r="F32" s="163">
        <f t="shared" ref="F32:F35" si="15">(E32/10)*D32</f>
        <v>0.04166666667</v>
      </c>
      <c r="G32" s="133">
        <v>10.0</v>
      </c>
      <c r="H32" s="129"/>
      <c r="I32" s="133"/>
      <c r="J32" s="129"/>
      <c r="K32" s="200">
        <v>10.0</v>
      </c>
      <c r="L32" s="200"/>
      <c r="M32" s="108"/>
      <c r="N32" s="108"/>
      <c r="O32" s="108"/>
      <c r="P32" s="108"/>
      <c r="Q32" s="108"/>
      <c r="R32" s="108"/>
      <c r="S32" s="108"/>
      <c r="T32" s="108"/>
      <c r="U32" s="108"/>
      <c r="V32" s="108"/>
      <c r="W32" s="108"/>
      <c r="X32" s="108"/>
      <c r="Y32" s="108"/>
      <c r="Z32" s="108"/>
      <c r="AA32" s="108"/>
      <c r="AB32" s="108"/>
      <c r="AC32" s="108"/>
      <c r="AD32" s="108"/>
    </row>
    <row r="33" ht="15.75" customHeight="1">
      <c r="A33" s="159">
        <v>46057.0</v>
      </c>
      <c r="B33" s="160">
        <f>'peso de las competencias'!G24</f>
        <v>0.04166666667</v>
      </c>
      <c r="C33" s="161">
        <v>0.0</v>
      </c>
      <c r="D33" s="162">
        <f t="shared" si="13"/>
        <v>0</v>
      </c>
      <c r="E33" s="126">
        <f t="shared" si="14"/>
        <v>0</v>
      </c>
      <c r="F33" s="163">
        <f t="shared" si="15"/>
        <v>0</v>
      </c>
      <c r="G33" s="133"/>
      <c r="H33" s="129"/>
      <c r="I33" s="129"/>
      <c r="J33" s="133"/>
      <c r="K33" s="133"/>
      <c r="L33" s="133"/>
      <c r="M33" s="108"/>
      <c r="N33" s="108"/>
      <c r="O33" s="108"/>
      <c r="P33" s="108"/>
      <c r="Q33" s="108"/>
      <c r="R33" s="108"/>
      <c r="S33" s="108"/>
      <c r="T33" s="108"/>
      <c r="U33" s="108"/>
      <c r="V33" s="108"/>
      <c r="W33" s="108"/>
      <c r="X33" s="108"/>
      <c r="Y33" s="108"/>
      <c r="Z33" s="108"/>
      <c r="AA33" s="108"/>
      <c r="AB33" s="108"/>
      <c r="AC33" s="108"/>
      <c r="AD33" s="108"/>
    </row>
    <row r="34" ht="15.75" customHeight="1">
      <c r="A34" s="164">
        <v>46085.0</v>
      </c>
      <c r="B34" s="160">
        <f>'peso de las competencias'!G25</f>
        <v>0.04166666667</v>
      </c>
      <c r="C34" s="161">
        <v>0.0</v>
      </c>
      <c r="D34" s="162">
        <f t="shared" si="13"/>
        <v>0</v>
      </c>
      <c r="E34" s="126">
        <f t="shared" si="14"/>
        <v>0</v>
      </c>
      <c r="F34" s="163">
        <f t="shared" si="15"/>
        <v>0</v>
      </c>
      <c r="G34" s="133"/>
      <c r="H34" s="129"/>
      <c r="I34" s="129"/>
      <c r="J34" s="129"/>
      <c r="K34" s="129"/>
      <c r="L34" s="129"/>
      <c r="M34" s="108"/>
      <c r="N34" s="108"/>
      <c r="O34" s="108"/>
      <c r="P34" s="108"/>
      <c r="Q34" s="108"/>
      <c r="R34" s="108"/>
      <c r="S34" s="108"/>
      <c r="T34" s="108"/>
      <c r="U34" s="108"/>
      <c r="V34" s="108"/>
      <c r="W34" s="108"/>
      <c r="X34" s="108"/>
      <c r="Y34" s="108"/>
      <c r="Z34" s="108"/>
      <c r="AA34" s="108"/>
      <c r="AB34" s="108"/>
      <c r="AC34" s="108"/>
      <c r="AD34" s="108"/>
    </row>
    <row r="35" ht="15.75" customHeight="1">
      <c r="A35" s="164">
        <v>46116.0</v>
      </c>
      <c r="B35" s="160">
        <f>'peso de las competencias'!G26</f>
        <v>0.04166666667</v>
      </c>
      <c r="C35" s="161">
        <v>1.0</v>
      </c>
      <c r="D35" s="162">
        <f t="shared" si="13"/>
        <v>0.04166666667</v>
      </c>
      <c r="E35" s="126">
        <f t="shared" si="14"/>
        <v>10</v>
      </c>
      <c r="F35" s="163">
        <f t="shared" si="15"/>
        <v>0.04166666667</v>
      </c>
      <c r="G35" s="133"/>
      <c r="H35" s="129"/>
      <c r="I35" s="129"/>
      <c r="J35" s="129"/>
      <c r="K35" s="199">
        <v>10.0</v>
      </c>
      <c r="L35" s="129"/>
      <c r="M35" s="108"/>
      <c r="N35" s="108"/>
      <c r="O35" s="108"/>
      <c r="P35" s="108"/>
      <c r="Q35" s="108"/>
      <c r="R35" s="108"/>
      <c r="S35" s="108"/>
      <c r="T35" s="108"/>
      <c r="U35" s="108"/>
      <c r="V35" s="108"/>
      <c r="W35" s="108"/>
      <c r="X35" s="108"/>
      <c r="Y35" s="108"/>
      <c r="Z35" s="108"/>
      <c r="AA35" s="108"/>
      <c r="AB35" s="108"/>
      <c r="AC35" s="108"/>
      <c r="AD35" s="108"/>
    </row>
    <row r="36" ht="15.75" customHeight="1">
      <c r="A36" s="142" t="s">
        <v>167</v>
      </c>
      <c r="B36" s="143">
        <f>SUM(B32:B35)</f>
        <v>0.1666666667</v>
      </c>
      <c r="C36" s="144"/>
      <c r="D36" s="143">
        <f>SUM(D32:D35)</f>
        <v>0.08333333333</v>
      </c>
      <c r="E36" s="145"/>
      <c r="F36" s="143">
        <f>SUM(F32:F35)</f>
        <v>0.08333333333</v>
      </c>
      <c r="G36" s="146"/>
      <c r="H36" s="146"/>
      <c r="I36" s="146"/>
      <c r="J36" s="146"/>
      <c r="K36" s="147"/>
      <c r="L36" s="147"/>
      <c r="M36" s="108"/>
      <c r="N36" s="108"/>
      <c r="O36" s="108"/>
      <c r="P36" s="108"/>
      <c r="Q36" s="108"/>
      <c r="R36" s="108"/>
      <c r="S36" s="108"/>
      <c r="T36" s="108"/>
      <c r="U36" s="108"/>
      <c r="V36" s="108"/>
      <c r="W36" s="108"/>
      <c r="X36" s="108"/>
      <c r="Y36" s="108"/>
      <c r="Z36" s="108"/>
      <c r="AA36" s="108"/>
      <c r="AB36" s="108"/>
      <c r="AC36" s="108"/>
      <c r="AD36" s="108"/>
    </row>
    <row r="37" ht="15.75"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108"/>
      <c r="AB37" s="108"/>
      <c r="AC37" s="108"/>
      <c r="AD37" s="108"/>
    </row>
    <row r="38" ht="15.75" customHeight="1">
      <c r="A38" s="108"/>
      <c r="B38" s="108"/>
      <c r="C38" s="108"/>
      <c r="D38" s="108"/>
      <c r="E38" s="108"/>
      <c r="F38" s="111"/>
      <c r="G38" s="112" t="s">
        <v>71</v>
      </c>
      <c r="H38" s="3"/>
      <c r="I38" s="3"/>
      <c r="J38" s="3"/>
      <c r="K38" s="3"/>
      <c r="L38" s="3"/>
      <c r="M38" s="108"/>
      <c r="N38" s="108"/>
      <c r="O38" s="108"/>
      <c r="P38" s="108"/>
      <c r="Q38" s="108"/>
      <c r="R38" s="108"/>
      <c r="S38" s="108"/>
      <c r="T38" s="108"/>
      <c r="U38" s="108"/>
      <c r="V38" s="108"/>
      <c r="W38" s="108"/>
      <c r="X38" s="108"/>
      <c r="Y38" s="108"/>
      <c r="Z38" s="108"/>
      <c r="AA38" s="108"/>
      <c r="AB38" s="108"/>
      <c r="AC38" s="108"/>
      <c r="AD38" s="108"/>
    </row>
    <row r="39">
      <c r="A39" s="155" t="s">
        <v>74</v>
      </c>
      <c r="B39" s="156" t="s">
        <v>75</v>
      </c>
      <c r="C39" s="155" t="s">
        <v>76</v>
      </c>
      <c r="D39" s="116" t="s">
        <v>163</v>
      </c>
      <c r="E39" s="155" t="s">
        <v>93</v>
      </c>
      <c r="F39" s="157" t="s">
        <v>78</v>
      </c>
      <c r="G39" s="155" t="s">
        <v>79</v>
      </c>
      <c r="H39" s="155" t="s">
        <v>80</v>
      </c>
      <c r="I39" s="155" t="s">
        <v>81</v>
      </c>
      <c r="J39" s="155" t="s">
        <v>82</v>
      </c>
      <c r="K39" s="118" t="s">
        <v>83</v>
      </c>
      <c r="L39" s="117" t="s">
        <v>84</v>
      </c>
      <c r="M39" s="198"/>
      <c r="N39" s="108"/>
      <c r="O39" s="108"/>
      <c r="P39" s="108"/>
      <c r="Q39" s="108"/>
      <c r="R39" s="108"/>
      <c r="S39" s="108"/>
      <c r="T39" s="108"/>
      <c r="U39" s="108"/>
      <c r="V39" s="108"/>
      <c r="W39" s="108"/>
      <c r="X39" s="108"/>
      <c r="Y39" s="108"/>
      <c r="Z39" s="108"/>
      <c r="AA39" s="108"/>
      <c r="AB39" s="108"/>
      <c r="AC39" s="108"/>
      <c r="AD39" s="108"/>
    </row>
    <row r="40" ht="15.75" customHeight="1">
      <c r="A40" s="159">
        <v>46028.0</v>
      </c>
      <c r="B40" s="160">
        <f>'peso de las competencias'!G36</f>
        <v>0.04166666667</v>
      </c>
      <c r="C40" s="161">
        <v>0.0</v>
      </c>
      <c r="D40" s="162">
        <f t="shared" ref="D40:D43" si="16">C40*B40</f>
        <v>0</v>
      </c>
      <c r="E40" s="126">
        <f t="shared" ref="E40:E43" si="17">IF($C40=0, 0, IFERROR(SUM($G40:$L40)/COUNT($G40:$L40), 0))</f>
        <v>0</v>
      </c>
      <c r="F40" s="163">
        <f t="shared" ref="F40:F43" si="18">(E40/10)*D40</f>
        <v>0</v>
      </c>
      <c r="G40" s="133"/>
      <c r="H40" s="129"/>
      <c r="I40" s="133"/>
      <c r="J40" s="129"/>
      <c r="K40" s="130"/>
      <c r="L40" s="130"/>
      <c r="M40" s="108"/>
      <c r="N40" s="108"/>
      <c r="O40" s="108"/>
      <c r="P40" s="108"/>
      <c r="Q40" s="108"/>
      <c r="R40" s="108"/>
      <c r="S40" s="108"/>
      <c r="T40" s="108"/>
      <c r="U40" s="108"/>
      <c r="V40" s="108"/>
      <c r="W40" s="108"/>
      <c r="X40" s="108"/>
      <c r="Y40" s="108"/>
      <c r="Z40" s="108"/>
      <c r="AA40" s="108"/>
      <c r="AB40" s="108"/>
      <c r="AC40" s="108"/>
      <c r="AD40" s="108"/>
    </row>
    <row r="41" ht="15.75" customHeight="1">
      <c r="A41" s="159">
        <v>46059.0</v>
      </c>
      <c r="B41" s="160">
        <f>'peso de las competencias'!G37</f>
        <v>0.04166666667</v>
      </c>
      <c r="C41" s="161">
        <v>0.0</v>
      </c>
      <c r="D41" s="162">
        <f t="shared" si="16"/>
        <v>0</v>
      </c>
      <c r="E41" s="126">
        <f t="shared" si="17"/>
        <v>0</v>
      </c>
      <c r="F41" s="163">
        <f t="shared" si="18"/>
        <v>0</v>
      </c>
      <c r="G41" s="133"/>
      <c r="H41" s="129"/>
      <c r="I41" s="129"/>
      <c r="J41" s="133"/>
      <c r="K41" s="133"/>
      <c r="L41" s="133"/>
      <c r="M41" s="108"/>
      <c r="N41" s="108"/>
      <c r="O41" s="108"/>
      <c r="P41" s="108"/>
      <c r="Q41" s="108"/>
      <c r="R41" s="108"/>
      <c r="S41" s="108"/>
      <c r="T41" s="108"/>
      <c r="U41" s="108"/>
      <c r="V41" s="108"/>
      <c r="W41" s="108"/>
      <c r="X41" s="108"/>
      <c r="Y41" s="108"/>
      <c r="Z41" s="108"/>
      <c r="AA41" s="108"/>
      <c r="AB41" s="108"/>
      <c r="AC41" s="108"/>
      <c r="AD41" s="108"/>
    </row>
    <row r="42" ht="15.75" customHeight="1">
      <c r="A42" s="164">
        <v>46087.0</v>
      </c>
      <c r="B42" s="160">
        <f>'peso de las competencias'!G38</f>
        <v>0.04166666667</v>
      </c>
      <c r="C42" s="161">
        <v>0.0</v>
      </c>
      <c r="D42" s="162">
        <f t="shared" si="16"/>
        <v>0</v>
      </c>
      <c r="E42" s="126">
        <f t="shared" si="17"/>
        <v>0</v>
      </c>
      <c r="F42" s="163">
        <f t="shared" si="18"/>
        <v>0</v>
      </c>
      <c r="G42" s="133"/>
      <c r="H42" s="129"/>
      <c r="I42" s="129"/>
      <c r="J42" s="129"/>
      <c r="K42" s="129"/>
      <c r="L42" s="129"/>
      <c r="M42" s="108"/>
      <c r="N42" s="108"/>
      <c r="O42" s="108"/>
      <c r="P42" s="108"/>
      <c r="Q42" s="108"/>
      <c r="R42" s="108"/>
      <c r="S42" s="108"/>
      <c r="T42" s="108"/>
      <c r="U42" s="108"/>
      <c r="V42" s="108"/>
      <c r="W42" s="108"/>
      <c r="X42" s="108"/>
      <c r="Y42" s="108"/>
      <c r="Z42" s="108"/>
      <c r="AA42" s="108"/>
      <c r="AB42" s="108"/>
      <c r="AC42" s="108"/>
      <c r="AD42" s="108"/>
    </row>
    <row r="43" ht="15.75" customHeight="1">
      <c r="A43" s="164">
        <v>46118.0</v>
      </c>
      <c r="B43" s="160">
        <f>'peso de las competencias'!G39</f>
        <v>0.04166666667</v>
      </c>
      <c r="C43" s="161">
        <v>1.0</v>
      </c>
      <c r="D43" s="162">
        <f t="shared" si="16"/>
        <v>0.04166666667</v>
      </c>
      <c r="E43" s="126">
        <f t="shared" si="17"/>
        <v>10</v>
      </c>
      <c r="F43" s="163">
        <f t="shared" si="18"/>
        <v>0.04166666667</v>
      </c>
      <c r="G43" s="133"/>
      <c r="H43" s="129"/>
      <c r="I43" s="129"/>
      <c r="J43" s="199">
        <v>10.0</v>
      </c>
      <c r="K43" s="129"/>
      <c r="L43" s="129"/>
      <c r="M43" s="108"/>
      <c r="N43" s="108"/>
      <c r="O43" s="108"/>
      <c r="P43" s="108"/>
      <c r="Q43" s="108"/>
      <c r="R43" s="108"/>
      <c r="S43" s="108"/>
      <c r="T43" s="108"/>
      <c r="U43" s="108"/>
      <c r="V43" s="108"/>
      <c r="W43" s="108"/>
      <c r="X43" s="108"/>
      <c r="Y43" s="108"/>
      <c r="Z43" s="108"/>
      <c r="AA43" s="108"/>
      <c r="AB43" s="108"/>
      <c r="AC43" s="108"/>
      <c r="AD43" s="108"/>
    </row>
    <row r="44" ht="15.75" customHeight="1">
      <c r="A44" s="142" t="s">
        <v>168</v>
      </c>
      <c r="B44" s="143">
        <f>SUM(B40:B43)</f>
        <v>0.1666666667</v>
      </c>
      <c r="C44" s="144"/>
      <c r="D44" s="143">
        <f>SUM(D40:D43)</f>
        <v>0.04166666667</v>
      </c>
      <c r="E44" s="145"/>
      <c r="F44" s="143">
        <f>SUM(F40:F43)</f>
        <v>0.04166666667</v>
      </c>
      <c r="G44" s="146"/>
      <c r="H44" s="146"/>
      <c r="I44" s="146"/>
      <c r="J44" s="146"/>
      <c r="K44" s="147"/>
      <c r="L44" s="147"/>
      <c r="M44" s="108"/>
      <c r="N44" s="209" t="s">
        <v>96</v>
      </c>
      <c r="O44" s="210" t="s">
        <v>97</v>
      </c>
      <c r="P44" s="209" t="s">
        <v>98</v>
      </c>
      <c r="Q44" s="209" t="s">
        <v>99</v>
      </c>
      <c r="R44" s="108"/>
      <c r="S44" s="108"/>
      <c r="T44" s="108"/>
      <c r="U44" s="108"/>
      <c r="V44" s="108"/>
      <c r="W44" s="108"/>
      <c r="X44" s="108"/>
      <c r="Y44" s="108"/>
      <c r="Z44" s="108"/>
      <c r="AA44" s="108"/>
      <c r="AB44" s="108"/>
      <c r="AC44" s="108"/>
      <c r="AD44" s="108"/>
    </row>
    <row r="45">
      <c r="A45" s="108"/>
      <c r="B45" s="108"/>
      <c r="C45" s="108"/>
      <c r="D45" s="108"/>
      <c r="E45" s="108"/>
      <c r="F45" s="108"/>
      <c r="G45" s="108"/>
      <c r="H45" s="108"/>
      <c r="I45" s="108"/>
      <c r="J45" s="108"/>
      <c r="K45" s="108"/>
      <c r="L45" s="108"/>
      <c r="M45" s="108"/>
      <c r="N45" s="211" t="s">
        <v>100</v>
      </c>
      <c r="O45" s="212" t="s">
        <v>169</v>
      </c>
      <c r="P45" s="213" t="s">
        <v>170</v>
      </c>
      <c r="Q45" s="214" t="s">
        <v>171</v>
      </c>
      <c r="R45" s="108"/>
      <c r="S45" s="108"/>
      <c r="T45" s="108"/>
      <c r="U45" s="108"/>
      <c r="V45" s="108"/>
      <c r="W45" s="108"/>
      <c r="X45" s="108"/>
      <c r="Y45" s="108"/>
      <c r="Z45" s="108"/>
      <c r="AA45" s="108"/>
      <c r="AB45" s="108"/>
      <c r="AC45" s="108"/>
      <c r="AD45" s="108"/>
    </row>
    <row r="46">
      <c r="A46" s="107"/>
      <c r="B46" s="107"/>
      <c r="C46" s="119"/>
      <c r="D46" s="119"/>
      <c r="E46" s="108"/>
      <c r="F46" s="108"/>
      <c r="G46" s="119"/>
      <c r="H46" s="108"/>
      <c r="I46" s="108"/>
      <c r="J46" s="108"/>
      <c r="K46" s="108"/>
      <c r="L46" s="108"/>
      <c r="M46" s="108"/>
      <c r="N46" s="215" t="s">
        <v>129</v>
      </c>
      <c r="O46" s="216" t="s">
        <v>172</v>
      </c>
      <c r="P46" s="217" t="s">
        <v>173</v>
      </c>
      <c r="Q46" s="218" t="s">
        <v>174</v>
      </c>
      <c r="R46" s="108"/>
      <c r="S46" s="108"/>
      <c r="T46" s="108"/>
      <c r="U46" s="108"/>
      <c r="V46" s="108"/>
      <c r="W46" s="108"/>
      <c r="X46" s="108"/>
      <c r="Y46" s="108"/>
      <c r="Z46" s="108"/>
      <c r="AA46" s="108"/>
      <c r="AB46" s="108"/>
      <c r="AC46" s="108"/>
      <c r="AD46" s="108"/>
    </row>
    <row r="47">
      <c r="A47" s="197"/>
      <c r="B47" s="107"/>
      <c r="C47" s="107"/>
      <c r="D47" s="107"/>
      <c r="E47" s="108"/>
      <c r="F47" s="108"/>
      <c r="G47" s="195"/>
      <c r="H47" s="108"/>
      <c r="I47" s="108"/>
      <c r="J47" s="108"/>
      <c r="K47" s="108"/>
      <c r="L47" s="108"/>
      <c r="M47" s="108"/>
      <c r="N47" s="215" t="s">
        <v>133</v>
      </c>
      <c r="O47" s="219" t="s">
        <v>175</v>
      </c>
      <c r="P47" s="217" t="s">
        <v>176</v>
      </c>
      <c r="Q47" s="218" t="s">
        <v>177</v>
      </c>
      <c r="R47" s="108"/>
      <c r="S47" s="108"/>
      <c r="T47" s="108"/>
      <c r="U47" s="108"/>
      <c r="V47" s="108"/>
      <c r="W47" s="108"/>
      <c r="X47" s="108"/>
      <c r="Y47" s="108"/>
      <c r="Z47" s="108"/>
      <c r="AA47" s="108"/>
      <c r="AB47" s="108"/>
      <c r="AC47" s="108"/>
      <c r="AD47" s="108"/>
    </row>
    <row r="48">
      <c r="A48" s="196"/>
      <c r="B48" s="196"/>
      <c r="C48" s="196"/>
      <c r="D48" s="196"/>
      <c r="E48" s="196"/>
      <c r="F48" s="196"/>
      <c r="G48" s="196"/>
      <c r="H48" s="196"/>
      <c r="I48" s="196"/>
      <c r="J48" s="196"/>
      <c r="K48" s="196"/>
      <c r="L48" s="196"/>
      <c r="M48" s="196"/>
      <c r="N48" s="215" t="s">
        <v>137</v>
      </c>
      <c r="O48" s="220" t="s">
        <v>178</v>
      </c>
      <c r="P48" s="217" t="s">
        <v>179</v>
      </c>
      <c r="Q48" s="218" t="s">
        <v>180</v>
      </c>
      <c r="R48" s="196"/>
      <c r="S48" s="196"/>
      <c r="T48" s="196"/>
      <c r="U48" s="196"/>
      <c r="V48" s="196"/>
      <c r="W48" s="196"/>
      <c r="X48" s="196"/>
      <c r="Y48" s="196"/>
      <c r="Z48" s="196"/>
      <c r="AA48" s="196"/>
      <c r="AB48" s="196"/>
      <c r="AC48" s="196"/>
      <c r="AD48" s="196"/>
    </row>
    <row r="49">
      <c r="A49" s="108"/>
      <c r="B49" s="108"/>
      <c r="C49" s="108"/>
      <c r="D49" s="108"/>
      <c r="E49" s="108"/>
      <c r="F49" s="108"/>
      <c r="G49" s="108"/>
      <c r="H49" s="108"/>
      <c r="I49" s="108"/>
      <c r="J49" s="108"/>
      <c r="K49" s="108"/>
      <c r="L49" s="108"/>
      <c r="M49" s="108"/>
      <c r="N49" s="215" t="s">
        <v>141</v>
      </c>
      <c r="O49" s="221" t="s">
        <v>181</v>
      </c>
      <c r="P49" s="217" t="s">
        <v>182</v>
      </c>
      <c r="Q49" s="218" t="s">
        <v>183</v>
      </c>
      <c r="R49" s="108"/>
      <c r="S49" s="108"/>
      <c r="T49" s="108"/>
      <c r="U49" s="108"/>
      <c r="V49" s="108"/>
      <c r="W49" s="108"/>
      <c r="X49" s="108"/>
      <c r="Y49" s="108"/>
      <c r="Z49" s="108"/>
      <c r="AA49" s="108"/>
      <c r="AB49" s="108"/>
      <c r="AC49" s="108"/>
      <c r="AD49" s="108"/>
    </row>
    <row r="50">
      <c r="N50" s="212" t="s">
        <v>144</v>
      </c>
      <c r="O50" s="219" t="s">
        <v>184</v>
      </c>
      <c r="P50" s="217" t="s">
        <v>185</v>
      </c>
      <c r="Q50" s="218" t="s">
        <v>186</v>
      </c>
    </row>
    <row r="57" ht="15.75" customHeight="1">
      <c r="A57" s="108"/>
      <c r="B57" s="108"/>
      <c r="C57" s="108"/>
      <c r="D57" s="108"/>
      <c r="E57" s="108"/>
      <c r="F57" s="108"/>
      <c r="G57" s="108"/>
      <c r="H57" s="108"/>
      <c r="I57" s="108"/>
      <c r="J57" s="108"/>
      <c r="K57" s="108"/>
      <c r="L57" s="108"/>
      <c r="M57" s="108"/>
      <c r="N57" s="108"/>
      <c r="O57" s="108"/>
      <c r="P57" s="108"/>
      <c r="Q57" s="108"/>
      <c r="R57" s="108"/>
      <c r="S57" s="108"/>
      <c r="T57" s="108"/>
      <c r="U57" s="108"/>
      <c r="V57" s="108"/>
      <c r="W57" s="108"/>
      <c r="X57" s="108"/>
      <c r="Y57" s="108"/>
      <c r="Z57" s="108"/>
      <c r="AA57" s="108"/>
      <c r="AB57" s="108"/>
      <c r="AC57" s="108"/>
      <c r="AD57" s="108"/>
    </row>
    <row r="58" ht="15.75" customHeight="1">
      <c r="A58" s="108"/>
      <c r="B58" s="108"/>
      <c r="C58" s="108"/>
      <c r="D58" s="108"/>
      <c r="E58" s="108"/>
      <c r="F58" s="108"/>
      <c r="G58" s="108"/>
      <c r="H58" s="108"/>
      <c r="I58" s="108"/>
      <c r="J58" s="108"/>
      <c r="K58" s="108"/>
      <c r="L58" s="108"/>
      <c r="M58" s="108"/>
      <c r="N58" s="108"/>
      <c r="O58" s="108"/>
      <c r="P58" s="108"/>
      <c r="Q58" s="108"/>
      <c r="R58" s="108"/>
      <c r="S58" s="108"/>
      <c r="T58" s="108"/>
      <c r="U58" s="108"/>
      <c r="V58" s="108"/>
      <c r="W58" s="108"/>
      <c r="X58" s="108"/>
      <c r="Y58" s="108"/>
      <c r="Z58" s="108"/>
      <c r="AA58" s="108"/>
      <c r="AB58" s="108"/>
      <c r="AC58" s="108"/>
      <c r="AD58" s="108"/>
    </row>
    <row r="59" ht="15.75" customHeight="1">
      <c r="A59" s="108"/>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c r="AA59" s="108"/>
      <c r="AB59" s="108"/>
      <c r="AC59" s="108"/>
      <c r="AD59" s="108"/>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5">
    <mergeCell ref="G5:L5"/>
    <mergeCell ref="G15:L15"/>
    <mergeCell ref="G23:L23"/>
    <mergeCell ref="G30:L30"/>
    <mergeCell ref="G38:L38"/>
  </mergeCells>
  <printOptions/>
  <pageMargins bottom="0.75" footer="0.0" header="0.0" left="0.7" right="0.7" top="0.75"/>
  <pageSetup paperSize="9" orientation="landscape"/>
  <drawing r:id="rId1"/>
  <tableParts count="7">
    <tablePart r:id="rId9"/>
    <tablePart r:id="rId10"/>
    <tablePart r:id="rId11"/>
    <tablePart r:id="rId12"/>
    <tablePart r:id="rId13"/>
    <tablePart r:id="rId14"/>
    <tablePart r:id="rId1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8.0"/>
    <col customWidth="1" min="2" max="2" width="15.57"/>
    <col customWidth="1" min="3" max="3" width="10.71"/>
    <col customWidth="1" min="4" max="4" width="14.0"/>
    <col customWidth="1" min="5" max="5" width="14.14"/>
    <col customWidth="1" min="6" max="6" width="14.71"/>
    <col customWidth="1" min="7" max="7" width="15.43"/>
    <col customWidth="1" min="9" max="9" width="12.57"/>
    <col customWidth="1" min="10" max="10" width="12.14"/>
    <col customWidth="1" min="11" max="11" width="12.0"/>
    <col customWidth="1" min="12" max="12" width="11.86"/>
    <col customWidth="1" min="13" max="13" width="12.14"/>
    <col customWidth="1" min="14" max="14" width="10.71"/>
    <col customWidth="1" min="15" max="15" width="15.0"/>
    <col customWidth="1" min="16" max="16" width="34.29"/>
    <col customWidth="1" min="17" max="17" width="29.71"/>
    <col customWidth="1" min="18" max="18" width="79.14"/>
    <col customWidth="1" min="19" max="31" width="10.71"/>
  </cols>
  <sheetData>
    <row r="1">
      <c r="A1" s="197" t="s">
        <v>187</v>
      </c>
      <c r="B1" s="108"/>
      <c r="C1" s="108"/>
      <c r="D1" s="108"/>
      <c r="E1" s="108"/>
      <c r="F1" s="108"/>
      <c r="G1" s="108"/>
      <c r="H1" s="108"/>
      <c r="I1" s="108"/>
      <c r="J1" s="108"/>
      <c r="K1" s="108"/>
      <c r="L1" s="108"/>
      <c r="M1" s="108"/>
      <c r="N1" s="108"/>
      <c r="O1" s="108"/>
      <c r="P1" s="108"/>
      <c r="Q1" s="108"/>
      <c r="R1" s="108"/>
      <c r="S1" s="108"/>
      <c r="T1" s="108"/>
      <c r="U1" s="108"/>
      <c r="V1" s="108"/>
      <c r="W1" s="108"/>
      <c r="X1" s="108"/>
      <c r="Y1" s="108"/>
      <c r="Z1" s="108"/>
      <c r="AA1" s="108"/>
      <c r="AB1" s="108"/>
      <c r="AC1" s="108"/>
      <c r="AD1" s="108"/>
      <c r="AE1" s="108"/>
    </row>
    <row r="2">
      <c r="A2" s="108"/>
      <c r="B2" s="108"/>
      <c r="C2" s="108"/>
      <c r="D2" s="108"/>
      <c r="E2" s="108"/>
      <c r="F2" s="108"/>
      <c r="G2" s="108"/>
      <c r="H2" s="108"/>
      <c r="I2" s="108"/>
      <c r="J2" s="108"/>
      <c r="K2" s="108"/>
      <c r="L2" s="108"/>
      <c r="M2" s="108"/>
      <c r="N2" s="108"/>
      <c r="O2" s="108"/>
      <c r="P2" s="108"/>
      <c r="Q2" s="108"/>
      <c r="R2" s="108"/>
      <c r="S2" s="108"/>
      <c r="T2" s="108"/>
      <c r="U2" s="108"/>
      <c r="V2" s="108"/>
      <c r="W2" s="108"/>
      <c r="X2" s="108"/>
      <c r="Y2" s="108"/>
      <c r="Z2" s="108"/>
      <c r="AA2" s="108"/>
      <c r="AB2" s="108"/>
      <c r="AC2" s="108"/>
      <c r="AD2" s="108"/>
      <c r="AE2" s="108"/>
    </row>
    <row r="3">
      <c r="A3" s="108"/>
      <c r="B3" s="108"/>
      <c r="C3" s="108"/>
      <c r="D3" s="108"/>
      <c r="E3" s="108"/>
      <c r="F3" s="108"/>
      <c r="G3" s="108"/>
      <c r="H3" s="108"/>
      <c r="I3" s="108"/>
      <c r="J3" s="108"/>
      <c r="K3" s="108"/>
      <c r="L3" s="108"/>
      <c r="M3" s="108"/>
      <c r="N3" s="108"/>
      <c r="S3" s="108"/>
      <c r="T3" s="108"/>
      <c r="U3" s="108"/>
      <c r="V3" s="108"/>
      <c r="W3" s="108"/>
      <c r="X3" s="108"/>
      <c r="Y3" s="108"/>
      <c r="Z3" s="108"/>
      <c r="AA3" s="108"/>
      <c r="AB3" s="108"/>
      <c r="AC3" s="108"/>
      <c r="AD3" s="108"/>
      <c r="AE3" s="108"/>
    </row>
    <row r="4">
      <c r="A4" s="108"/>
      <c r="B4" s="108"/>
      <c r="C4" s="108"/>
      <c r="D4" s="108"/>
      <c r="E4" s="108"/>
      <c r="F4" s="108"/>
      <c r="G4" s="108"/>
      <c r="H4" s="108"/>
      <c r="I4" s="108"/>
      <c r="J4" s="108"/>
      <c r="K4" s="108"/>
      <c r="L4" s="108"/>
      <c r="M4" s="108"/>
      <c r="N4" s="108"/>
      <c r="S4" s="108"/>
      <c r="T4" s="108"/>
      <c r="U4" s="108"/>
      <c r="V4" s="108"/>
      <c r="W4" s="108"/>
      <c r="X4" s="108"/>
      <c r="Y4" s="108"/>
      <c r="Z4" s="108"/>
      <c r="AA4" s="108"/>
      <c r="AB4" s="108"/>
      <c r="AC4" s="108"/>
      <c r="AD4" s="108"/>
      <c r="AE4" s="108"/>
    </row>
    <row r="5">
      <c r="A5" s="108"/>
      <c r="B5" s="108"/>
      <c r="C5" s="108"/>
      <c r="D5" s="108"/>
      <c r="E5" s="108"/>
      <c r="F5" s="111"/>
      <c r="G5" s="112" t="s">
        <v>71</v>
      </c>
      <c r="H5" s="3"/>
      <c r="I5" s="3"/>
      <c r="J5" s="3"/>
      <c r="K5" s="3"/>
      <c r="L5" s="3"/>
      <c r="M5" s="3"/>
      <c r="N5" s="108"/>
      <c r="O5" s="113" t="s">
        <v>58</v>
      </c>
      <c r="P5" s="113" t="s">
        <v>59</v>
      </c>
      <c r="Q5" s="114" t="s">
        <v>188</v>
      </c>
      <c r="R5" s="114" t="s">
        <v>189</v>
      </c>
      <c r="S5" s="108"/>
      <c r="T5" s="108"/>
      <c r="U5" s="108"/>
      <c r="V5" s="108"/>
      <c r="W5" s="108"/>
      <c r="X5" s="108"/>
      <c r="Y5" s="108"/>
      <c r="Z5" s="108"/>
      <c r="AA5" s="108"/>
      <c r="AB5" s="108"/>
      <c r="AC5" s="108"/>
      <c r="AD5" s="108"/>
      <c r="AE5" s="108"/>
    </row>
    <row r="6">
      <c r="A6" s="115" t="s">
        <v>74</v>
      </c>
      <c r="B6" s="116" t="s">
        <v>75</v>
      </c>
      <c r="C6" s="115" t="s">
        <v>76</v>
      </c>
      <c r="D6" s="116" t="s">
        <v>188</v>
      </c>
      <c r="E6" s="117" t="s">
        <v>93</v>
      </c>
      <c r="F6" s="117" t="s">
        <v>78</v>
      </c>
      <c r="G6" s="115" t="s">
        <v>79</v>
      </c>
      <c r="H6" s="115" t="s">
        <v>80</v>
      </c>
      <c r="I6" s="115" t="s">
        <v>81</v>
      </c>
      <c r="J6" s="115" t="s">
        <v>82</v>
      </c>
      <c r="K6" s="118" t="s">
        <v>83</v>
      </c>
      <c r="L6" s="118" t="s">
        <v>84</v>
      </c>
      <c r="M6" s="118" t="s">
        <v>85</v>
      </c>
      <c r="N6" s="222"/>
      <c r="O6" s="120" t="s">
        <v>5</v>
      </c>
      <c r="P6" s="121">
        <f t="shared" ref="P6:P11" si="1">1/6</f>
        <v>0.1666666667</v>
      </c>
      <c r="Q6" s="121">
        <f>D13</f>
        <v>0.08333333333</v>
      </c>
      <c r="R6" s="121">
        <f>F13</f>
        <v>0.04166666667</v>
      </c>
      <c r="S6" s="108"/>
      <c r="T6" s="108"/>
      <c r="U6" s="108"/>
      <c r="V6" s="108"/>
      <c r="W6" s="108"/>
      <c r="X6" s="108"/>
      <c r="Y6" s="108"/>
      <c r="Z6" s="108"/>
      <c r="AA6" s="108"/>
      <c r="AB6" s="108"/>
      <c r="AC6" s="108"/>
      <c r="AD6" s="108"/>
      <c r="AE6" s="108"/>
    </row>
    <row r="7">
      <c r="A7" s="122">
        <v>46023.0</v>
      </c>
      <c r="B7" s="123">
        <f>'peso de las competencias'!G4</f>
        <v>0.02777777778</v>
      </c>
      <c r="C7" s="124">
        <v>0.5</v>
      </c>
      <c r="D7" s="125">
        <f t="shared" ref="D7:D12" si="2">C7*B7</f>
        <v>0.01388888889</v>
      </c>
      <c r="E7" s="126">
        <f t="shared" ref="E7:E12" si="3">IF($C7=0, 0, IFERROR(SUM($G7:$N7)/COUNT($G7:$N7), 0))</f>
        <v>0</v>
      </c>
      <c r="F7" s="127">
        <f t="shared" ref="F7:F12" si="4">(E7/10)*D7</f>
        <v>0</v>
      </c>
      <c r="G7" s="128"/>
      <c r="H7" s="129"/>
      <c r="I7" s="129"/>
      <c r="J7" s="129"/>
      <c r="K7" s="130"/>
      <c r="L7" s="130"/>
      <c r="M7" s="130"/>
      <c r="N7" s="108"/>
      <c r="O7" s="120" t="s">
        <v>6</v>
      </c>
      <c r="P7" s="121">
        <f t="shared" si="1"/>
        <v>0.1666666667</v>
      </c>
      <c r="Q7" s="121">
        <f>D21</f>
        <v>0.04166666667</v>
      </c>
      <c r="R7" s="121">
        <f>F21</f>
        <v>0.02083333333</v>
      </c>
      <c r="S7" s="108"/>
      <c r="T7" s="108"/>
      <c r="U7" s="108"/>
      <c r="V7" s="108"/>
      <c r="W7" s="108"/>
      <c r="X7" s="108"/>
      <c r="Y7" s="108"/>
      <c r="Z7" s="108"/>
      <c r="AA7" s="108"/>
      <c r="AB7" s="108"/>
      <c r="AC7" s="108"/>
      <c r="AD7" s="108"/>
      <c r="AE7" s="108"/>
    </row>
    <row r="8">
      <c r="A8" s="122">
        <v>46054.0</v>
      </c>
      <c r="B8" s="123">
        <f>'peso de las competencias'!G5</f>
        <v>0.02777777778</v>
      </c>
      <c r="C8" s="124">
        <v>0.5</v>
      </c>
      <c r="D8" s="131">
        <f t="shared" si="2"/>
        <v>0.01388888889</v>
      </c>
      <c r="E8" s="126">
        <f t="shared" si="3"/>
        <v>0</v>
      </c>
      <c r="F8" s="127">
        <f t="shared" si="4"/>
        <v>0</v>
      </c>
      <c r="G8" s="132"/>
      <c r="H8" s="133"/>
      <c r="I8" s="129"/>
      <c r="J8" s="129"/>
      <c r="K8" s="130"/>
      <c r="L8" s="130"/>
      <c r="M8" s="130"/>
      <c r="N8" s="108"/>
      <c r="O8" s="120" t="s">
        <v>7</v>
      </c>
      <c r="P8" s="121">
        <f t="shared" si="1"/>
        <v>0.1666666667</v>
      </c>
      <c r="Q8" s="121">
        <f>D28</f>
        <v>0.08333333333</v>
      </c>
      <c r="R8" s="121">
        <f>F28</f>
        <v>0.05555555556</v>
      </c>
      <c r="S8" s="108"/>
      <c r="T8" s="108"/>
      <c r="U8" s="108"/>
      <c r="V8" s="108"/>
      <c r="W8" s="108"/>
      <c r="X8" s="108"/>
      <c r="Y8" s="108"/>
      <c r="Z8" s="108"/>
      <c r="AA8" s="108"/>
      <c r="AB8" s="108"/>
      <c r="AC8" s="108"/>
      <c r="AD8" s="108"/>
      <c r="AE8" s="108"/>
    </row>
    <row r="9">
      <c r="A9" s="122">
        <v>46082.0</v>
      </c>
      <c r="B9" s="123">
        <f>'peso de las competencias'!G6</f>
        <v>0.02777777778</v>
      </c>
      <c r="C9" s="124">
        <v>0.5</v>
      </c>
      <c r="D9" s="131">
        <f t="shared" si="2"/>
        <v>0.01388888889</v>
      </c>
      <c r="E9" s="126">
        <f t="shared" si="3"/>
        <v>10</v>
      </c>
      <c r="F9" s="127">
        <f t="shared" si="4"/>
        <v>0.01388888889</v>
      </c>
      <c r="G9" s="132"/>
      <c r="H9" s="199">
        <v>10.0</v>
      </c>
      <c r="I9" s="129"/>
      <c r="J9" s="129"/>
      <c r="K9" s="130"/>
      <c r="L9" s="130"/>
      <c r="M9" s="130"/>
      <c r="N9" s="108"/>
      <c r="O9" s="120" t="s">
        <v>8</v>
      </c>
      <c r="P9" s="121">
        <f t="shared" si="1"/>
        <v>0.1666666667</v>
      </c>
      <c r="Q9" s="134">
        <v>0.0</v>
      </c>
      <c r="R9" s="134">
        <f t="shared" ref="R9:R11" si="5">Q9*P9</f>
        <v>0</v>
      </c>
      <c r="S9" s="108"/>
      <c r="T9" s="108"/>
      <c r="U9" s="108"/>
      <c r="V9" s="108"/>
      <c r="W9" s="108"/>
      <c r="X9" s="108"/>
      <c r="Y9" s="108"/>
      <c r="Z9" s="108"/>
      <c r="AA9" s="108"/>
      <c r="AB9" s="108"/>
      <c r="AC9" s="108"/>
      <c r="AD9" s="108"/>
      <c r="AE9" s="108"/>
    </row>
    <row r="10">
      <c r="A10" s="136">
        <v>46113.0</v>
      </c>
      <c r="B10" s="123">
        <f>'peso de las competencias'!G7</f>
        <v>0.02777777778</v>
      </c>
      <c r="C10" s="124">
        <v>0.5</v>
      </c>
      <c r="D10" s="131">
        <f t="shared" si="2"/>
        <v>0.01388888889</v>
      </c>
      <c r="E10" s="126">
        <f t="shared" si="3"/>
        <v>10</v>
      </c>
      <c r="F10" s="127">
        <f t="shared" si="4"/>
        <v>0.01388888889</v>
      </c>
      <c r="G10" s="132"/>
      <c r="H10" s="199">
        <v>10.0</v>
      </c>
      <c r="I10" s="129"/>
      <c r="J10" s="129"/>
      <c r="K10" s="130"/>
      <c r="L10" s="130"/>
      <c r="M10" s="130"/>
      <c r="N10" s="108"/>
      <c r="O10" s="120" t="s">
        <v>9</v>
      </c>
      <c r="P10" s="121">
        <f t="shared" si="1"/>
        <v>0.1666666667</v>
      </c>
      <c r="Q10" s="134">
        <v>0.0</v>
      </c>
      <c r="R10" s="134">
        <f t="shared" si="5"/>
        <v>0</v>
      </c>
      <c r="S10" s="108"/>
      <c r="T10" s="108"/>
      <c r="U10" s="108"/>
      <c r="V10" s="108"/>
      <c r="W10" s="108"/>
      <c r="X10" s="108"/>
      <c r="Y10" s="108"/>
      <c r="Z10" s="108"/>
      <c r="AA10" s="108"/>
      <c r="AB10" s="108"/>
      <c r="AC10" s="108"/>
      <c r="AD10" s="108"/>
      <c r="AE10" s="108"/>
    </row>
    <row r="11">
      <c r="A11" s="136">
        <v>46143.0</v>
      </c>
      <c r="B11" s="123">
        <f>'peso de las competencias'!G8</f>
        <v>0.02777777778</v>
      </c>
      <c r="C11" s="124">
        <v>0.5</v>
      </c>
      <c r="D11" s="131">
        <f t="shared" si="2"/>
        <v>0.01388888889</v>
      </c>
      <c r="E11" s="126">
        <f t="shared" si="3"/>
        <v>0</v>
      </c>
      <c r="F11" s="127">
        <f t="shared" si="4"/>
        <v>0</v>
      </c>
      <c r="G11" s="132"/>
      <c r="H11" s="129"/>
      <c r="I11" s="129"/>
      <c r="J11" s="129"/>
      <c r="K11" s="130"/>
      <c r="L11" s="130"/>
      <c r="M11" s="130"/>
      <c r="N11" s="108"/>
      <c r="O11" s="120" t="s">
        <v>10</v>
      </c>
      <c r="P11" s="121">
        <f t="shared" si="1"/>
        <v>0.1666666667</v>
      </c>
      <c r="Q11" s="134">
        <v>0.0</v>
      </c>
      <c r="R11" s="137">
        <f t="shared" si="5"/>
        <v>0</v>
      </c>
      <c r="S11" s="108"/>
      <c r="T11" s="108"/>
      <c r="U11" s="108"/>
      <c r="V11" s="108"/>
      <c r="W11" s="108"/>
      <c r="X11" s="108"/>
      <c r="Y11" s="108"/>
      <c r="Z11" s="108"/>
      <c r="AA11" s="108"/>
      <c r="AB11" s="108"/>
      <c r="AC11" s="108"/>
      <c r="AD11" s="108"/>
      <c r="AE11" s="108"/>
    </row>
    <row r="12">
      <c r="A12" s="136">
        <v>46174.0</v>
      </c>
      <c r="B12" s="123">
        <f>'peso de las competencias'!G9</f>
        <v>0.02777777778</v>
      </c>
      <c r="C12" s="124">
        <v>0.5</v>
      </c>
      <c r="D12" s="131">
        <f t="shared" si="2"/>
        <v>0.01388888889</v>
      </c>
      <c r="E12" s="126">
        <f t="shared" si="3"/>
        <v>10</v>
      </c>
      <c r="F12" s="127">
        <f t="shared" si="4"/>
        <v>0.01388888889</v>
      </c>
      <c r="G12" s="132"/>
      <c r="H12" s="129"/>
      <c r="I12" s="199">
        <v>10.0</v>
      </c>
      <c r="J12" s="129"/>
      <c r="K12" s="130"/>
      <c r="L12" s="130"/>
      <c r="M12" s="130"/>
      <c r="N12" s="108"/>
      <c r="O12" s="138" t="s">
        <v>89</v>
      </c>
      <c r="P12" s="139">
        <f t="shared" ref="P12:R12" si="6">SUM(P6:P11)</f>
        <v>1</v>
      </c>
      <c r="Q12" s="223">
        <f t="shared" si="6"/>
        <v>0.2083333333</v>
      </c>
      <c r="R12" s="224">
        <f t="shared" si="6"/>
        <v>0.1180555556</v>
      </c>
      <c r="S12" s="108"/>
      <c r="T12" s="108"/>
      <c r="U12" s="108"/>
      <c r="V12" s="108"/>
      <c r="W12" s="108"/>
      <c r="X12" s="108"/>
      <c r="Y12" s="108"/>
      <c r="Z12" s="108"/>
      <c r="AA12" s="108"/>
      <c r="AB12" s="108"/>
      <c r="AC12" s="108"/>
      <c r="AD12" s="108"/>
      <c r="AE12" s="108"/>
    </row>
    <row r="13">
      <c r="A13" s="142" t="s">
        <v>90</v>
      </c>
      <c r="B13" s="143">
        <f>SUM(B7:B12)</f>
        <v>0.1666666667</v>
      </c>
      <c r="C13" s="144"/>
      <c r="D13" s="143">
        <f>SUM(D7:D12)</f>
        <v>0.08333333333</v>
      </c>
      <c r="E13" s="145"/>
      <c r="F13" s="143">
        <f>SUM(F7:F12)</f>
        <v>0.04166666667</v>
      </c>
      <c r="G13" s="146"/>
      <c r="H13" s="146"/>
      <c r="I13" s="146"/>
      <c r="J13" s="146"/>
      <c r="K13" s="147"/>
      <c r="L13" s="147"/>
      <c r="M13" s="147"/>
      <c r="N13" s="108"/>
      <c r="O13" s="225"/>
      <c r="P13" s="202" t="s">
        <v>162</v>
      </c>
      <c r="Q13" s="203">
        <f>'2ªEV'!P14</f>
        <v>0.4166666667</v>
      </c>
      <c r="R13" s="204">
        <f>'2ªEV'!Q14</f>
        <v>0.4166666667</v>
      </c>
      <c r="S13" s="108"/>
      <c r="T13" s="108"/>
      <c r="U13" s="108"/>
      <c r="V13" s="108"/>
      <c r="W13" s="108"/>
      <c r="X13" s="108"/>
      <c r="Y13" s="108"/>
      <c r="Z13" s="108"/>
      <c r="AA13" s="108"/>
      <c r="AB13" s="108"/>
      <c r="AC13" s="108"/>
      <c r="AD13" s="108"/>
      <c r="AE13" s="108"/>
    </row>
    <row r="14">
      <c r="A14" s="108"/>
      <c r="B14" s="108"/>
      <c r="C14" s="108"/>
      <c r="D14" s="108"/>
      <c r="E14" s="108"/>
      <c r="F14" s="108"/>
      <c r="G14" s="108"/>
      <c r="H14" s="108"/>
      <c r="I14" s="108"/>
      <c r="J14" s="108"/>
      <c r="K14" s="108"/>
      <c r="L14" s="108"/>
      <c r="M14" s="108"/>
      <c r="N14" s="108"/>
      <c r="O14" s="226"/>
      <c r="P14" s="205" t="s">
        <v>165</v>
      </c>
      <c r="Q14" s="206">
        <f t="shared" ref="Q14:R14" si="7">SUM(Q12:Q13)</f>
        <v>0.625</v>
      </c>
      <c r="R14" s="206">
        <f t="shared" si="7"/>
        <v>0.5347222222</v>
      </c>
      <c r="S14" s="108"/>
      <c r="T14" s="108"/>
      <c r="U14" s="108"/>
      <c r="V14" s="108"/>
      <c r="W14" s="108"/>
      <c r="X14" s="108"/>
      <c r="Y14" s="108"/>
      <c r="Z14" s="108"/>
      <c r="AA14" s="108"/>
      <c r="AB14" s="108"/>
      <c r="AC14" s="108"/>
      <c r="AD14" s="108"/>
      <c r="AE14" s="108"/>
    </row>
    <row r="15">
      <c r="A15" s="108"/>
      <c r="B15" s="108"/>
      <c r="C15" s="108"/>
      <c r="D15" s="108"/>
      <c r="E15" s="108"/>
      <c r="F15" s="111"/>
      <c r="G15" s="112" t="s">
        <v>71</v>
      </c>
      <c r="H15" s="3"/>
      <c r="I15" s="3"/>
      <c r="J15" s="3"/>
      <c r="K15" s="3"/>
      <c r="L15" s="3"/>
      <c r="M15" s="3"/>
      <c r="N15" s="108"/>
      <c r="O15" s="226"/>
      <c r="P15" s="208"/>
      <c r="Q15" s="152" t="s">
        <v>166</v>
      </c>
      <c r="R15" s="153">
        <f>IF(Q14=0, 0, (R14/Q14)*10)</f>
        <v>8.555555556</v>
      </c>
      <c r="S15" s="108"/>
      <c r="T15" s="108"/>
      <c r="U15" s="108"/>
      <c r="V15" s="108"/>
      <c r="W15" s="108"/>
      <c r="X15" s="108"/>
      <c r="Y15" s="108"/>
      <c r="Z15" s="108"/>
      <c r="AA15" s="108"/>
      <c r="AB15" s="108"/>
      <c r="AC15" s="108"/>
      <c r="AD15" s="108"/>
      <c r="AE15" s="108"/>
    </row>
    <row r="16">
      <c r="A16" s="155" t="s">
        <v>74</v>
      </c>
      <c r="B16" s="156" t="s">
        <v>75</v>
      </c>
      <c r="C16" s="155" t="s">
        <v>76</v>
      </c>
      <c r="D16" s="116" t="s">
        <v>188</v>
      </c>
      <c r="E16" s="155" t="s">
        <v>93</v>
      </c>
      <c r="F16" s="157" t="s">
        <v>78</v>
      </c>
      <c r="G16" s="155" t="s">
        <v>79</v>
      </c>
      <c r="H16" s="155" t="s">
        <v>80</v>
      </c>
      <c r="I16" s="155" t="s">
        <v>81</v>
      </c>
      <c r="J16" s="155" t="s">
        <v>82</v>
      </c>
      <c r="K16" s="158" t="s">
        <v>83</v>
      </c>
      <c r="L16" s="158" t="s">
        <v>84</v>
      </c>
      <c r="M16" s="158" t="s">
        <v>85</v>
      </c>
      <c r="N16" s="198"/>
      <c r="O16" s="227"/>
      <c r="S16" s="108"/>
      <c r="T16" s="108"/>
      <c r="U16" s="108"/>
      <c r="V16" s="108"/>
      <c r="W16" s="108"/>
      <c r="X16" s="108"/>
      <c r="Y16" s="108"/>
      <c r="Z16" s="108"/>
      <c r="AA16" s="108"/>
      <c r="AB16" s="108"/>
      <c r="AC16" s="108"/>
      <c r="AD16" s="108"/>
      <c r="AE16" s="108"/>
    </row>
    <row r="17">
      <c r="A17" s="159">
        <v>46024.0</v>
      </c>
      <c r="B17" s="160">
        <f>'peso de las competencias'!G12</f>
        <v>0.04166666667</v>
      </c>
      <c r="C17" s="161">
        <v>0.0</v>
      </c>
      <c r="D17" s="162">
        <f t="shared" ref="D17:D20" si="8">C17*B17</f>
        <v>0</v>
      </c>
      <c r="E17" s="126">
        <f t="shared" ref="E17:E20" si="9">IF($C17=0, 0, IFERROR(SUM($G17:$N17)/COUNT($G17:$N17), 0))</f>
        <v>0</v>
      </c>
      <c r="F17" s="163">
        <f t="shared" ref="F17:F20" si="10">(E17/10)*D17</f>
        <v>0</v>
      </c>
      <c r="G17" s="133">
        <v>10.0</v>
      </c>
      <c r="H17" s="129"/>
      <c r="I17" s="133"/>
      <c r="J17" s="129"/>
      <c r="K17" s="130"/>
      <c r="L17" s="130"/>
      <c r="M17" s="130"/>
      <c r="N17" s="108"/>
      <c r="O17" s="111"/>
      <c r="P17" s="111"/>
      <c r="Q17" s="119"/>
      <c r="R17" s="108"/>
      <c r="S17" s="108"/>
      <c r="T17" s="108"/>
      <c r="U17" s="108"/>
      <c r="V17" s="108"/>
      <c r="W17" s="108"/>
      <c r="X17" s="108"/>
      <c r="Y17" s="108"/>
      <c r="Z17" s="108"/>
      <c r="AA17" s="108"/>
      <c r="AB17" s="108"/>
      <c r="AC17" s="108"/>
      <c r="AD17" s="108"/>
      <c r="AE17" s="108"/>
    </row>
    <row r="18">
      <c r="A18" s="159">
        <v>46055.0</v>
      </c>
      <c r="B18" s="160">
        <f>'peso de las competencias'!G13</f>
        <v>0.04166666667</v>
      </c>
      <c r="C18" s="161">
        <v>0.5</v>
      </c>
      <c r="D18" s="162">
        <f t="shared" si="8"/>
        <v>0.02083333333</v>
      </c>
      <c r="E18" s="126">
        <f t="shared" si="9"/>
        <v>10</v>
      </c>
      <c r="F18" s="163">
        <f t="shared" si="10"/>
        <v>0.02083333333</v>
      </c>
      <c r="G18" s="133">
        <v>10.0</v>
      </c>
      <c r="H18" s="129"/>
      <c r="I18" s="129"/>
      <c r="J18" s="133"/>
      <c r="K18" s="133">
        <v>10.0</v>
      </c>
      <c r="L18" s="130"/>
      <c r="M18" s="130"/>
      <c r="N18" s="108"/>
      <c r="O18" s="111"/>
      <c r="P18" s="111"/>
      <c r="Q18" s="119"/>
      <c r="R18" s="108"/>
      <c r="S18" s="108"/>
      <c r="T18" s="108"/>
      <c r="U18" s="108"/>
      <c r="V18" s="108"/>
      <c r="W18" s="108"/>
      <c r="X18" s="108"/>
      <c r="Y18" s="108"/>
      <c r="Z18" s="108"/>
      <c r="AA18" s="108"/>
      <c r="AB18" s="108"/>
      <c r="AC18" s="108"/>
      <c r="AD18" s="108"/>
      <c r="AE18" s="108"/>
    </row>
    <row r="19">
      <c r="A19" s="164">
        <v>46083.0</v>
      </c>
      <c r="B19" s="160">
        <f>'peso de las competencias'!G14</f>
        <v>0.04166666667</v>
      </c>
      <c r="C19" s="161">
        <v>0.0</v>
      </c>
      <c r="D19" s="162">
        <f t="shared" si="8"/>
        <v>0</v>
      </c>
      <c r="E19" s="126">
        <f t="shared" si="9"/>
        <v>0</v>
      </c>
      <c r="F19" s="163">
        <f t="shared" si="10"/>
        <v>0</v>
      </c>
      <c r="G19" s="133"/>
      <c r="H19" s="129"/>
      <c r="I19" s="129"/>
      <c r="J19" s="129"/>
      <c r="K19" s="129"/>
      <c r="L19" s="130"/>
      <c r="M19" s="130"/>
      <c r="N19" s="108"/>
      <c r="O19" s="111"/>
      <c r="P19" s="111"/>
      <c r="Q19" s="119"/>
      <c r="R19" s="108"/>
      <c r="S19" s="108"/>
      <c r="T19" s="108"/>
      <c r="U19" s="108"/>
      <c r="V19" s="108"/>
      <c r="W19" s="108"/>
      <c r="X19" s="108"/>
      <c r="Y19" s="108"/>
      <c r="Z19" s="108"/>
      <c r="AA19" s="108"/>
      <c r="AB19" s="108"/>
      <c r="AC19" s="108"/>
      <c r="AD19" s="108"/>
      <c r="AE19" s="108"/>
    </row>
    <row r="20">
      <c r="A20" s="164">
        <v>46114.0</v>
      </c>
      <c r="B20" s="160">
        <f>'peso de las competencias'!G15</f>
        <v>0.04166666667</v>
      </c>
      <c r="C20" s="161">
        <v>0.5</v>
      </c>
      <c r="D20" s="162">
        <f t="shared" si="8"/>
        <v>0.02083333333</v>
      </c>
      <c r="E20" s="126">
        <f t="shared" si="9"/>
        <v>0</v>
      </c>
      <c r="F20" s="163">
        <f t="shared" si="10"/>
        <v>0</v>
      </c>
      <c r="G20" s="133"/>
      <c r="H20" s="129"/>
      <c r="I20" s="129"/>
      <c r="J20" s="129"/>
      <c r="K20" s="129"/>
      <c r="L20" s="130"/>
      <c r="M20" s="130"/>
      <c r="N20" s="108"/>
      <c r="O20" s="111"/>
      <c r="P20" s="111"/>
      <c r="Q20" s="119"/>
      <c r="R20" s="108"/>
      <c r="S20" s="108"/>
      <c r="T20" s="108"/>
      <c r="U20" s="108"/>
      <c r="V20" s="108"/>
      <c r="W20" s="108"/>
      <c r="X20" s="108"/>
      <c r="Y20" s="108"/>
      <c r="Z20" s="108"/>
      <c r="AA20" s="108"/>
      <c r="AB20" s="108"/>
      <c r="AC20" s="108"/>
      <c r="AD20" s="108"/>
      <c r="AE20" s="108"/>
    </row>
    <row r="21" ht="15.75" customHeight="1">
      <c r="A21" s="142" t="s">
        <v>94</v>
      </c>
      <c r="B21" s="143">
        <f>SUM(B17:B20)</f>
        <v>0.1666666667</v>
      </c>
      <c r="C21" s="144"/>
      <c r="D21" s="143">
        <f>SUM(D17:D20)</f>
        <v>0.04166666667</v>
      </c>
      <c r="E21" s="145"/>
      <c r="F21" s="143">
        <f>SUM(F17:F20)</f>
        <v>0.02083333333</v>
      </c>
      <c r="G21" s="146"/>
      <c r="H21" s="146"/>
      <c r="I21" s="146"/>
      <c r="J21" s="146"/>
      <c r="K21" s="147"/>
      <c r="L21" s="147"/>
      <c r="M21" s="147"/>
      <c r="N21" s="108"/>
      <c r="O21" s="165"/>
      <c r="P21" s="166"/>
      <c r="Q21" s="119"/>
      <c r="R21" s="108"/>
      <c r="S21" s="108"/>
      <c r="T21" s="108"/>
      <c r="U21" s="108"/>
      <c r="V21" s="108"/>
      <c r="W21" s="108"/>
      <c r="X21" s="108"/>
      <c r="Y21" s="108"/>
      <c r="Z21" s="108"/>
      <c r="AA21" s="108"/>
      <c r="AB21" s="108"/>
      <c r="AC21" s="108"/>
      <c r="AD21" s="108"/>
      <c r="AE21" s="108"/>
    </row>
    <row r="22" ht="15.75" customHeight="1">
      <c r="A22" s="108"/>
      <c r="B22" s="108"/>
      <c r="C22" s="108"/>
      <c r="D22" s="108"/>
      <c r="E22" s="108"/>
      <c r="F22" s="108"/>
      <c r="G22" s="108"/>
      <c r="H22" s="108"/>
      <c r="I22" s="108"/>
      <c r="J22" s="108"/>
      <c r="K22" s="108"/>
      <c r="L22" s="108"/>
      <c r="M22" s="108"/>
      <c r="N22" s="108"/>
      <c r="O22" s="108"/>
      <c r="P22" s="108"/>
      <c r="Q22" s="108"/>
      <c r="R22" s="108"/>
      <c r="S22" s="108"/>
      <c r="T22" s="108"/>
      <c r="U22" s="108"/>
      <c r="V22" s="108"/>
      <c r="W22" s="108"/>
      <c r="X22" s="108"/>
      <c r="Y22" s="108"/>
      <c r="Z22" s="108"/>
      <c r="AA22" s="108"/>
      <c r="AB22" s="108"/>
      <c r="AC22" s="108"/>
      <c r="AD22" s="108"/>
      <c r="AE22" s="108"/>
    </row>
    <row r="23" ht="15.75" customHeight="1">
      <c r="A23" s="108"/>
      <c r="B23" s="108"/>
      <c r="C23" s="108"/>
      <c r="D23" s="108"/>
      <c r="E23" s="108"/>
      <c r="F23" s="111"/>
      <c r="G23" s="112" t="s">
        <v>71</v>
      </c>
      <c r="H23" s="3"/>
      <c r="I23" s="3"/>
      <c r="J23" s="3"/>
      <c r="K23" s="3"/>
      <c r="L23" s="3"/>
      <c r="M23" s="3"/>
      <c r="N23" s="108"/>
      <c r="O23" s="108"/>
      <c r="P23" s="108"/>
      <c r="Q23" s="108"/>
      <c r="R23" s="108"/>
      <c r="S23" s="108"/>
      <c r="T23" s="108"/>
      <c r="U23" s="108"/>
      <c r="V23" s="108"/>
      <c r="W23" s="108"/>
      <c r="X23" s="108"/>
      <c r="Y23" s="108"/>
      <c r="Z23" s="108"/>
      <c r="AA23" s="108"/>
      <c r="AB23" s="108"/>
      <c r="AC23" s="108"/>
      <c r="AD23" s="108"/>
      <c r="AE23" s="108"/>
    </row>
    <row r="24">
      <c r="A24" s="155" t="s">
        <v>74</v>
      </c>
      <c r="B24" s="156" t="s">
        <v>75</v>
      </c>
      <c r="C24" s="155" t="s">
        <v>76</v>
      </c>
      <c r="D24" s="116" t="s">
        <v>188</v>
      </c>
      <c r="E24" s="155" t="s">
        <v>93</v>
      </c>
      <c r="F24" s="157" t="s">
        <v>78</v>
      </c>
      <c r="G24" s="155" t="s">
        <v>79</v>
      </c>
      <c r="H24" s="155" t="s">
        <v>80</v>
      </c>
      <c r="I24" s="155" t="s">
        <v>81</v>
      </c>
      <c r="J24" s="155" t="s">
        <v>82</v>
      </c>
      <c r="K24" s="158" t="s">
        <v>83</v>
      </c>
      <c r="L24" s="158" t="s">
        <v>84</v>
      </c>
      <c r="M24" s="158" t="s">
        <v>85</v>
      </c>
      <c r="N24" s="198"/>
      <c r="O24" s="108"/>
      <c r="P24" s="108"/>
      <c r="Q24" s="108"/>
      <c r="R24" s="108"/>
      <c r="S24" s="108"/>
      <c r="T24" s="108"/>
      <c r="U24" s="108"/>
      <c r="V24" s="108"/>
      <c r="W24" s="108"/>
      <c r="X24" s="108"/>
      <c r="Y24" s="108"/>
      <c r="Z24" s="108"/>
      <c r="AA24" s="108"/>
      <c r="AB24" s="108"/>
      <c r="AC24" s="108"/>
      <c r="AD24" s="108"/>
      <c r="AE24" s="108"/>
    </row>
    <row r="25" ht="15.75" customHeight="1">
      <c r="A25" s="159">
        <v>46025.0</v>
      </c>
      <c r="B25" s="160">
        <f>'peso de las competencias'!G18</f>
        <v>0.05555555556</v>
      </c>
      <c r="C25" s="161">
        <v>0.5</v>
      </c>
      <c r="D25" s="162">
        <f t="shared" ref="D25:D27" si="11">C25*B25</f>
        <v>0.02777777778</v>
      </c>
      <c r="E25" s="126">
        <f t="shared" ref="E25:E27" si="12">IF($C25=0, 0, IFERROR(SUM($G25:$N25)/COUNT($G25:$N25), 0))</f>
        <v>10</v>
      </c>
      <c r="F25" s="163">
        <f t="shared" ref="F25:F27" si="13">(E25/10)*D25</f>
        <v>0.02777777778</v>
      </c>
      <c r="G25" s="133"/>
      <c r="H25" s="129"/>
      <c r="I25" s="129"/>
      <c r="J25" s="129"/>
      <c r="K25" s="130"/>
      <c r="L25" s="130"/>
      <c r="M25" s="133">
        <v>10.0</v>
      </c>
      <c r="N25" s="108"/>
      <c r="O25" s="108"/>
      <c r="P25" s="108"/>
      <c r="Q25" s="108"/>
      <c r="R25" s="108"/>
      <c r="S25" s="108"/>
      <c r="T25" s="108"/>
      <c r="U25" s="108"/>
      <c r="V25" s="108"/>
      <c r="W25" s="108"/>
      <c r="X25" s="108"/>
      <c r="Y25" s="108"/>
      <c r="Z25" s="108"/>
      <c r="AA25" s="108"/>
      <c r="AB25" s="108"/>
      <c r="AC25" s="108"/>
      <c r="AD25" s="108"/>
      <c r="AE25" s="108"/>
    </row>
    <row r="26" ht="15.75" customHeight="1">
      <c r="A26" s="159">
        <v>46056.0</v>
      </c>
      <c r="B26" s="160">
        <f>'peso de las competencias'!G19</f>
        <v>0.05555555556</v>
      </c>
      <c r="C26" s="167">
        <v>0.5</v>
      </c>
      <c r="D26" s="162">
        <f t="shared" si="11"/>
        <v>0.02777777778</v>
      </c>
      <c r="E26" s="126">
        <f t="shared" si="12"/>
        <v>0</v>
      </c>
      <c r="F26" s="163">
        <f t="shared" si="13"/>
        <v>0</v>
      </c>
      <c r="G26" s="129"/>
      <c r="H26" s="129"/>
      <c r="I26" s="129"/>
      <c r="J26" s="129"/>
      <c r="K26" s="130"/>
      <c r="L26" s="133"/>
      <c r="M26" s="130"/>
      <c r="N26" s="108"/>
      <c r="O26" s="108"/>
      <c r="P26" s="108"/>
      <c r="Q26" s="108"/>
      <c r="R26" s="108"/>
      <c r="S26" s="108"/>
      <c r="T26" s="108"/>
      <c r="U26" s="108"/>
      <c r="V26" s="108"/>
      <c r="W26" s="108"/>
      <c r="X26" s="108"/>
      <c r="Y26" s="108"/>
      <c r="Z26" s="108"/>
      <c r="AA26" s="108"/>
      <c r="AB26" s="108"/>
      <c r="AC26" s="108"/>
      <c r="AD26" s="108"/>
      <c r="AE26" s="108"/>
    </row>
    <row r="27" ht="15.75" customHeight="1">
      <c r="A27" s="164">
        <v>46084.0</v>
      </c>
      <c r="B27" s="160">
        <f>'peso de las competencias'!G20</f>
        <v>0.05555555556</v>
      </c>
      <c r="C27" s="161">
        <v>0.5</v>
      </c>
      <c r="D27" s="162">
        <f t="shared" si="11"/>
        <v>0.02777777778</v>
      </c>
      <c r="E27" s="126">
        <f t="shared" si="12"/>
        <v>10</v>
      </c>
      <c r="F27" s="163">
        <f t="shared" si="13"/>
        <v>0.02777777778</v>
      </c>
      <c r="G27" s="133"/>
      <c r="H27" s="129"/>
      <c r="I27" s="129"/>
      <c r="J27" s="199">
        <v>10.0</v>
      </c>
      <c r="K27" s="130"/>
      <c r="L27" s="133"/>
      <c r="M27" s="130"/>
      <c r="N27" s="108"/>
      <c r="O27" s="108"/>
      <c r="P27" s="108"/>
      <c r="Q27" s="108"/>
      <c r="R27" s="108"/>
      <c r="S27" s="108"/>
      <c r="T27" s="108"/>
      <c r="U27" s="108"/>
      <c r="V27" s="108"/>
      <c r="W27" s="108"/>
      <c r="X27" s="108"/>
      <c r="Y27" s="108"/>
      <c r="Z27" s="108"/>
      <c r="AA27" s="108"/>
      <c r="AB27" s="108"/>
      <c r="AC27" s="108"/>
      <c r="AD27" s="108"/>
      <c r="AE27" s="108"/>
    </row>
    <row r="28" ht="15.75" customHeight="1">
      <c r="A28" s="142" t="s">
        <v>95</v>
      </c>
      <c r="B28" s="143">
        <f>SUM(B25:B27)</f>
        <v>0.1666666667</v>
      </c>
      <c r="C28" s="168"/>
      <c r="D28" s="143">
        <f>SUM(D25:D27)</f>
        <v>0.08333333333</v>
      </c>
      <c r="E28" s="169"/>
      <c r="F28" s="143">
        <f>SUM(F25:F27)</f>
        <v>0.05555555556</v>
      </c>
      <c r="G28" s="170"/>
      <c r="H28" s="170"/>
      <c r="I28" s="170"/>
      <c r="J28" s="170"/>
      <c r="K28" s="148"/>
      <c r="L28" s="148"/>
      <c r="M28" s="148"/>
      <c r="N28" s="108"/>
      <c r="O28" s="108"/>
      <c r="P28" s="108"/>
      <c r="Q28" s="108"/>
      <c r="R28" s="108"/>
      <c r="S28" s="108"/>
      <c r="T28" s="108"/>
      <c r="U28" s="108"/>
      <c r="V28" s="108"/>
      <c r="W28" s="108"/>
      <c r="X28" s="108"/>
      <c r="Y28" s="108"/>
      <c r="Z28" s="108"/>
      <c r="AA28" s="108"/>
      <c r="AB28" s="108"/>
      <c r="AC28" s="108"/>
      <c r="AD28" s="108"/>
      <c r="AE28" s="108"/>
    </row>
    <row r="29" ht="15.75" customHeight="1">
      <c r="A29" s="108"/>
      <c r="B29" s="108"/>
      <c r="C29" s="108"/>
      <c r="D29" s="108"/>
      <c r="E29" s="108"/>
      <c r="F29" s="108"/>
      <c r="G29" s="108"/>
      <c r="H29" s="108"/>
      <c r="I29" s="108"/>
      <c r="J29" s="108"/>
      <c r="K29" s="108"/>
      <c r="L29" s="108"/>
      <c r="M29" s="108"/>
      <c r="N29" s="108"/>
      <c r="O29" s="108"/>
      <c r="P29" s="108"/>
      <c r="Q29" s="108"/>
      <c r="R29" s="108"/>
      <c r="S29" s="108"/>
      <c r="T29" s="108"/>
      <c r="U29" s="108"/>
      <c r="V29" s="108"/>
      <c r="W29" s="108"/>
      <c r="X29" s="108"/>
      <c r="Y29" s="108"/>
      <c r="Z29" s="108"/>
      <c r="AA29" s="108"/>
      <c r="AB29" s="108"/>
      <c r="AC29" s="108"/>
      <c r="AD29" s="108"/>
      <c r="AE29" s="108"/>
    </row>
    <row r="30" ht="15.75" customHeight="1">
      <c r="A30" s="108"/>
      <c r="B30" s="108"/>
      <c r="C30" s="108"/>
      <c r="D30" s="108"/>
      <c r="E30" s="108"/>
      <c r="F30" s="111"/>
      <c r="G30" s="228" t="s">
        <v>71</v>
      </c>
      <c r="N30" s="108"/>
      <c r="O30" s="108"/>
      <c r="P30" s="108"/>
      <c r="Q30" s="108"/>
      <c r="R30" s="108"/>
      <c r="S30" s="108"/>
      <c r="T30" s="108"/>
      <c r="U30" s="108"/>
      <c r="V30" s="108"/>
      <c r="W30" s="108"/>
      <c r="X30" s="108"/>
      <c r="Y30" s="108"/>
      <c r="Z30" s="108"/>
      <c r="AA30" s="108"/>
      <c r="AB30" s="108"/>
      <c r="AC30" s="108"/>
      <c r="AD30" s="108"/>
      <c r="AE30" s="108"/>
    </row>
    <row r="31">
      <c r="A31" s="155" t="s">
        <v>74</v>
      </c>
      <c r="B31" s="156" t="s">
        <v>75</v>
      </c>
      <c r="C31" s="155" t="s">
        <v>76</v>
      </c>
      <c r="D31" s="116" t="s">
        <v>188</v>
      </c>
      <c r="E31" s="155" t="s">
        <v>93</v>
      </c>
      <c r="F31" s="157" t="s">
        <v>78</v>
      </c>
      <c r="G31" s="229" t="s">
        <v>79</v>
      </c>
      <c r="H31" s="229" t="s">
        <v>80</v>
      </c>
      <c r="I31" s="229" t="s">
        <v>81</v>
      </c>
      <c r="J31" s="229" t="s">
        <v>82</v>
      </c>
      <c r="K31" s="230" t="s">
        <v>83</v>
      </c>
      <c r="L31" s="230" t="s">
        <v>84</v>
      </c>
      <c r="M31" s="230" t="s">
        <v>85</v>
      </c>
      <c r="N31" s="198"/>
      <c r="O31" s="108"/>
      <c r="P31" s="108"/>
      <c r="Q31" s="108"/>
      <c r="R31" s="108"/>
      <c r="S31" s="108"/>
      <c r="T31" s="108"/>
      <c r="U31" s="108"/>
      <c r="V31" s="108"/>
      <c r="W31" s="108"/>
      <c r="X31" s="108"/>
      <c r="Y31" s="108"/>
      <c r="Z31" s="108"/>
      <c r="AA31" s="108"/>
      <c r="AB31" s="108"/>
      <c r="AC31" s="108"/>
      <c r="AD31" s="108"/>
      <c r="AE31" s="108"/>
    </row>
    <row r="32" ht="15.75" customHeight="1">
      <c r="A32" s="159">
        <v>46026.0</v>
      </c>
      <c r="B32" s="160">
        <f>'peso de las competencias'!G23</f>
        <v>0.04166666667</v>
      </c>
      <c r="C32" s="161">
        <v>0.0</v>
      </c>
      <c r="D32" s="162">
        <f t="shared" ref="D32:D35" si="14">C32*B32</f>
        <v>0</v>
      </c>
      <c r="E32" s="126">
        <f t="shared" ref="E32:E35" si="15">IF($C32=0, 0, IFERROR(SUM($G32:$N32)/COUNT($G32:$N32), 0))</f>
        <v>0</v>
      </c>
      <c r="F32" s="163">
        <f t="shared" ref="F32:F35" si="16">(E32/10)*D32</f>
        <v>0</v>
      </c>
      <c r="G32" s="133"/>
      <c r="H32" s="129"/>
      <c r="I32" s="133"/>
      <c r="J32" s="129"/>
      <c r="K32" s="130"/>
      <c r="L32" s="130"/>
      <c r="M32" s="130"/>
      <c r="N32" s="108"/>
      <c r="O32" s="108"/>
      <c r="P32" s="108"/>
      <c r="Q32" s="108"/>
      <c r="R32" s="108"/>
      <c r="S32" s="108"/>
      <c r="T32" s="108"/>
      <c r="U32" s="108"/>
      <c r="V32" s="108"/>
      <c r="W32" s="108"/>
      <c r="X32" s="108"/>
      <c r="Y32" s="108"/>
      <c r="Z32" s="108"/>
      <c r="AA32" s="108"/>
      <c r="AB32" s="108"/>
      <c r="AC32" s="108"/>
      <c r="AD32" s="108"/>
      <c r="AE32" s="108"/>
    </row>
    <row r="33" ht="15.75" customHeight="1">
      <c r="A33" s="159">
        <v>46057.0</v>
      </c>
      <c r="B33" s="160">
        <f>'peso de las competencias'!G24</f>
        <v>0.04166666667</v>
      </c>
      <c r="C33" s="161">
        <v>1.0</v>
      </c>
      <c r="D33" s="162">
        <f t="shared" si="14"/>
        <v>0.04166666667</v>
      </c>
      <c r="E33" s="126">
        <f t="shared" si="15"/>
        <v>10</v>
      </c>
      <c r="F33" s="163">
        <f t="shared" si="16"/>
        <v>0.04166666667</v>
      </c>
      <c r="G33" s="133">
        <v>10.0</v>
      </c>
      <c r="H33" s="129"/>
      <c r="I33" s="129"/>
      <c r="J33" s="133"/>
      <c r="K33" s="133"/>
      <c r="L33" s="130"/>
      <c r="M33" s="130"/>
      <c r="N33" s="108"/>
      <c r="O33" s="108"/>
      <c r="P33" s="108"/>
      <c r="Q33" s="108"/>
      <c r="R33" s="108"/>
      <c r="S33" s="108"/>
      <c r="T33" s="108"/>
      <c r="U33" s="108"/>
      <c r="V33" s="108"/>
      <c r="W33" s="108"/>
      <c r="X33" s="108"/>
      <c r="Y33" s="108"/>
      <c r="Z33" s="108"/>
      <c r="AA33" s="108"/>
      <c r="AB33" s="108"/>
      <c r="AC33" s="108"/>
      <c r="AD33" s="108"/>
      <c r="AE33" s="108"/>
    </row>
    <row r="34" ht="15.75" customHeight="1">
      <c r="A34" s="164">
        <v>46085.0</v>
      </c>
      <c r="B34" s="160">
        <f>'peso de las competencias'!G25</f>
        <v>0.04166666667</v>
      </c>
      <c r="C34" s="161">
        <v>1.0</v>
      </c>
      <c r="D34" s="162">
        <f t="shared" si="14"/>
        <v>0.04166666667</v>
      </c>
      <c r="E34" s="126">
        <f t="shared" si="15"/>
        <v>0</v>
      </c>
      <c r="F34" s="163">
        <f t="shared" si="16"/>
        <v>0</v>
      </c>
      <c r="G34" s="133"/>
      <c r="H34" s="129"/>
      <c r="I34" s="129"/>
      <c r="J34" s="129"/>
      <c r="K34" s="129"/>
      <c r="L34" s="130"/>
      <c r="M34" s="130"/>
      <c r="N34" s="108"/>
      <c r="O34" s="108"/>
      <c r="P34" s="108"/>
      <c r="Q34" s="108"/>
      <c r="R34" s="108"/>
      <c r="S34" s="108"/>
      <c r="T34" s="108"/>
      <c r="U34" s="108"/>
      <c r="V34" s="108"/>
      <c r="W34" s="108"/>
      <c r="X34" s="108"/>
      <c r="Y34" s="108"/>
      <c r="Z34" s="108"/>
      <c r="AA34" s="108"/>
      <c r="AB34" s="108"/>
      <c r="AC34" s="108"/>
      <c r="AD34" s="108"/>
      <c r="AE34" s="108"/>
    </row>
    <row r="35" ht="15.75" customHeight="1">
      <c r="A35" s="164">
        <v>46116.0</v>
      </c>
      <c r="B35" s="160">
        <f>'peso de las competencias'!G26</f>
        <v>0.04166666667</v>
      </c>
      <c r="C35" s="161">
        <v>0.0</v>
      </c>
      <c r="D35" s="162">
        <f t="shared" si="14"/>
        <v>0</v>
      </c>
      <c r="E35" s="126">
        <f t="shared" si="15"/>
        <v>0</v>
      </c>
      <c r="F35" s="163">
        <f t="shared" si="16"/>
        <v>0</v>
      </c>
      <c r="G35" s="133"/>
      <c r="H35" s="129"/>
      <c r="I35" s="129"/>
      <c r="J35" s="129"/>
      <c r="K35" s="129"/>
      <c r="L35" s="130"/>
      <c r="M35" s="130"/>
      <c r="N35" s="108"/>
      <c r="O35" s="108"/>
      <c r="P35" s="108"/>
      <c r="Q35" s="108"/>
      <c r="R35" s="108"/>
      <c r="S35" s="108"/>
      <c r="T35" s="108"/>
      <c r="U35" s="108"/>
      <c r="V35" s="108"/>
      <c r="W35" s="108"/>
      <c r="X35" s="108"/>
      <c r="Y35" s="108"/>
      <c r="Z35" s="108"/>
      <c r="AA35" s="108"/>
      <c r="AB35" s="108"/>
      <c r="AC35" s="108"/>
      <c r="AD35" s="108"/>
      <c r="AE35" s="108"/>
    </row>
    <row r="36" ht="15.75" customHeight="1">
      <c r="A36" s="142" t="s">
        <v>167</v>
      </c>
      <c r="B36" s="143">
        <f>SUM(B32:B35)</f>
        <v>0.1666666667</v>
      </c>
      <c r="C36" s="144"/>
      <c r="D36" s="143">
        <f>SUM(D32:D35)</f>
        <v>0.08333333333</v>
      </c>
      <c r="E36" s="145"/>
      <c r="F36" s="143">
        <f>SUM(F32:F35)</f>
        <v>0.04166666667</v>
      </c>
      <c r="G36" s="146"/>
      <c r="H36" s="146"/>
      <c r="I36" s="146"/>
      <c r="J36" s="146"/>
      <c r="K36" s="147"/>
      <c r="L36" s="147"/>
      <c r="M36" s="147"/>
      <c r="N36" s="108"/>
      <c r="O36" s="108"/>
      <c r="P36" s="108"/>
      <c r="Q36" s="108"/>
      <c r="R36" s="108"/>
      <c r="S36" s="108"/>
      <c r="T36" s="108"/>
      <c r="U36" s="108"/>
      <c r="V36" s="108"/>
      <c r="W36" s="108"/>
      <c r="X36" s="108"/>
      <c r="Y36" s="108"/>
      <c r="Z36" s="108"/>
      <c r="AA36" s="108"/>
      <c r="AB36" s="108"/>
      <c r="AC36" s="108"/>
      <c r="AD36" s="108"/>
      <c r="AE36" s="108"/>
    </row>
    <row r="37" ht="15.75" customHeight="1">
      <c r="A37" s="108"/>
      <c r="B37" s="108"/>
      <c r="C37" s="108"/>
      <c r="D37" s="108"/>
      <c r="E37" s="108"/>
      <c r="F37" s="108"/>
      <c r="G37" s="108"/>
      <c r="H37" s="108"/>
      <c r="I37" s="108"/>
      <c r="J37" s="108"/>
      <c r="K37" s="108"/>
      <c r="L37" s="108"/>
      <c r="M37" s="108"/>
      <c r="N37" s="108"/>
      <c r="O37" s="108"/>
      <c r="P37" s="108"/>
      <c r="Q37" s="108"/>
      <c r="R37" s="108"/>
      <c r="S37" s="108"/>
      <c r="T37" s="108"/>
      <c r="U37" s="108"/>
      <c r="V37" s="108"/>
      <c r="W37" s="108"/>
      <c r="X37" s="108"/>
      <c r="Y37" s="108"/>
      <c r="Z37" s="108"/>
      <c r="AA37" s="108"/>
      <c r="AB37" s="108"/>
      <c r="AC37" s="108"/>
      <c r="AD37" s="108"/>
      <c r="AE37" s="108"/>
    </row>
    <row r="38" ht="15.75" customHeight="1">
      <c r="A38" s="108"/>
      <c r="B38" s="108"/>
      <c r="C38" s="108"/>
      <c r="D38" s="108"/>
      <c r="E38" s="108"/>
      <c r="F38" s="111"/>
      <c r="G38" s="112" t="s">
        <v>71</v>
      </c>
      <c r="H38" s="3"/>
      <c r="I38" s="3"/>
      <c r="J38" s="3"/>
      <c r="K38" s="3"/>
      <c r="L38" s="3"/>
      <c r="M38" s="3"/>
      <c r="N38" s="108"/>
      <c r="O38" s="108"/>
      <c r="P38" s="108"/>
      <c r="Q38" s="108"/>
      <c r="R38" s="108"/>
      <c r="S38" s="108"/>
      <c r="T38" s="108"/>
      <c r="U38" s="108"/>
      <c r="V38" s="108"/>
      <c r="W38" s="108"/>
      <c r="X38" s="108"/>
      <c r="Y38" s="108"/>
      <c r="Z38" s="108"/>
      <c r="AA38" s="108"/>
      <c r="AB38" s="108"/>
      <c r="AC38" s="108"/>
      <c r="AD38" s="108"/>
      <c r="AE38" s="108"/>
    </row>
    <row r="39">
      <c r="A39" s="155" t="s">
        <v>74</v>
      </c>
      <c r="B39" s="156" t="s">
        <v>75</v>
      </c>
      <c r="C39" s="155" t="s">
        <v>76</v>
      </c>
      <c r="D39" s="116" t="s">
        <v>188</v>
      </c>
      <c r="E39" s="155" t="s">
        <v>93</v>
      </c>
      <c r="F39" s="157" t="s">
        <v>78</v>
      </c>
      <c r="G39" s="155" t="s">
        <v>79</v>
      </c>
      <c r="H39" s="155" t="s">
        <v>80</v>
      </c>
      <c r="I39" s="155" t="s">
        <v>81</v>
      </c>
      <c r="J39" s="155" t="s">
        <v>82</v>
      </c>
      <c r="K39" s="158" t="s">
        <v>83</v>
      </c>
      <c r="L39" s="158" t="s">
        <v>84</v>
      </c>
      <c r="M39" s="158" t="s">
        <v>85</v>
      </c>
      <c r="N39" s="198"/>
      <c r="O39" s="108"/>
      <c r="P39" s="108"/>
      <c r="Q39" s="108"/>
      <c r="R39" s="108"/>
      <c r="S39" s="108"/>
      <c r="T39" s="108"/>
      <c r="U39" s="108"/>
      <c r="V39" s="108"/>
      <c r="W39" s="108"/>
      <c r="X39" s="108"/>
      <c r="Y39" s="108"/>
      <c r="Z39" s="108"/>
      <c r="AA39" s="108"/>
      <c r="AB39" s="108"/>
      <c r="AC39" s="108"/>
      <c r="AD39" s="108"/>
      <c r="AE39" s="108"/>
    </row>
    <row r="40" ht="15.75" customHeight="1">
      <c r="A40" s="159">
        <v>46027.0</v>
      </c>
      <c r="B40" s="160">
        <f>'peso de las competencias'!G29</f>
        <v>0.03333333333</v>
      </c>
      <c r="C40" s="161">
        <v>1.0</v>
      </c>
      <c r="D40" s="162">
        <f t="shared" ref="D40:D44" si="17">C40*B40</f>
        <v>0.03333333333</v>
      </c>
      <c r="E40" s="126">
        <f t="shared" ref="E40:E44" si="18">IF($C40=0, 0, IFERROR(SUM($G40:$N40)/COUNT($G40:$N40), 0))</f>
        <v>10</v>
      </c>
      <c r="F40" s="163">
        <f t="shared" ref="F40:F44" si="19">(E40/10)*D40</f>
        <v>0.03333333333</v>
      </c>
      <c r="G40" s="133"/>
      <c r="H40" s="129"/>
      <c r="I40" s="133"/>
      <c r="J40" s="129"/>
      <c r="K40" s="130"/>
      <c r="L40" s="200">
        <v>10.0</v>
      </c>
      <c r="M40" s="130"/>
      <c r="N40" s="108"/>
      <c r="O40" s="108"/>
      <c r="P40" s="108"/>
      <c r="Q40" s="108"/>
      <c r="R40" s="108"/>
      <c r="S40" s="108"/>
      <c r="T40" s="108"/>
      <c r="U40" s="108"/>
      <c r="V40" s="108"/>
      <c r="W40" s="108"/>
      <c r="X40" s="108"/>
      <c r="Y40" s="108"/>
      <c r="Z40" s="108"/>
      <c r="AA40" s="108"/>
      <c r="AB40" s="108"/>
      <c r="AC40" s="108"/>
      <c r="AD40" s="108"/>
      <c r="AE40" s="108"/>
    </row>
    <row r="41" ht="15.75" customHeight="1">
      <c r="A41" s="159">
        <v>46058.0</v>
      </c>
      <c r="B41" s="160">
        <f>'peso de las competencias'!G30</f>
        <v>0.03333333333</v>
      </c>
      <c r="C41" s="161">
        <v>1.0</v>
      </c>
      <c r="D41" s="162">
        <f t="shared" si="17"/>
        <v>0.03333333333</v>
      </c>
      <c r="E41" s="126">
        <f t="shared" si="18"/>
        <v>10</v>
      </c>
      <c r="F41" s="163">
        <f t="shared" si="19"/>
        <v>0.03333333333</v>
      </c>
      <c r="G41" s="133"/>
      <c r="H41" s="129"/>
      <c r="I41" s="129"/>
      <c r="J41" s="133"/>
      <c r="K41" s="133"/>
      <c r="L41" s="200">
        <v>10.0</v>
      </c>
      <c r="M41" s="200">
        <v>10.0</v>
      </c>
      <c r="N41" s="108"/>
      <c r="O41" s="108"/>
      <c r="P41" s="108"/>
      <c r="Q41" s="108"/>
      <c r="R41" s="108"/>
      <c r="S41" s="108"/>
      <c r="T41" s="108"/>
      <c r="U41" s="108"/>
      <c r="V41" s="108"/>
      <c r="W41" s="108"/>
      <c r="X41" s="108"/>
      <c r="Y41" s="108"/>
      <c r="Z41" s="108"/>
      <c r="AA41" s="108"/>
      <c r="AB41" s="108"/>
      <c r="AC41" s="108"/>
      <c r="AD41" s="108"/>
      <c r="AE41" s="108"/>
    </row>
    <row r="42" ht="15.75" customHeight="1">
      <c r="A42" s="164">
        <v>46086.0</v>
      </c>
      <c r="B42" s="160">
        <f>'peso de las competencias'!G31</f>
        <v>0.03333333333</v>
      </c>
      <c r="C42" s="161">
        <v>1.0</v>
      </c>
      <c r="D42" s="162">
        <f t="shared" si="17"/>
        <v>0.03333333333</v>
      </c>
      <c r="E42" s="126">
        <f t="shared" si="18"/>
        <v>10</v>
      </c>
      <c r="F42" s="163">
        <f t="shared" si="19"/>
        <v>0.03333333333</v>
      </c>
      <c r="G42" s="133"/>
      <c r="H42" s="129"/>
      <c r="I42" s="129"/>
      <c r="J42" s="129"/>
      <c r="K42" s="129"/>
      <c r="L42" s="200">
        <v>10.0</v>
      </c>
      <c r="M42" s="130"/>
      <c r="N42" s="108"/>
      <c r="O42" s="108"/>
      <c r="P42" s="108"/>
      <c r="Q42" s="108"/>
      <c r="R42" s="108"/>
      <c r="S42" s="108"/>
      <c r="T42" s="108"/>
      <c r="U42" s="108"/>
      <c r="V42" s="108"/>
      <c r="W42" s="108"/>
      <c r="X42" s="108"/>
      <c r="Y42" s="108"/>
      <c r="Z42" s="108"/>
      <c r="AA42" s="108"/>
      <c r="AB42" s="108"/>
      <c r="AC42" s="108"/>
      <c r="AD42" s="108"/>
      <c r="AE42" s="108"/>
    </row>
    <row r="43" ht="15.75" customHeight="1">
      <c r="A43" s="164">
        <v>46117.0</v>
      </c>
      <c r="B43" s="160">
        <f>'peso de las competencias'!G32</f>
        <v>0.03333333333</v>
      </c>
      <c r="C43" s="161">
        <v>1.0</v>
      </c>
      <c r="D43" s="162">
        <f t="shared" si="17"/>
        <v>0.03333333333</v>
      </c>
      <c r="E43" s="126">
        <f t="shared" si="18"/>
        <v>10</v>
      </c>
      <c r="F43" s="163">
        <f t="shared" si="19"/>
        <v>0.03333333333</v>
      </c>
      <c r="G43" s="133"/>
      <c r="H43" s="129"/>
      <c r="I43" s="129"/>
      <c r="J43" s="129"/>
      <c r="K43" s="129"/>
      <c r="L43" s="200">
        <v>10.0</v>
      </c>
      <c r="M43" s="130"/>
      <c r="N43" s="108"/>
      <c r="O43" s="108"/>
      <c r="P43" s="108"/>
      <c r="Q43" s="108"/>
      <c r="R43" s="108"/>
      <c r="S43" s="108"/>
      <c r="T43" s="108"/>
      <c r="U43" s="108"/>
      <c r="V43" s="108"/>
      <c r="W43" s="108"/>
      <c r="X43" s="108"/>
      <c r="Y43" s="108"/>
      <c r="Z43" s="108"/>
      <c r="AA43" s="108"/>
      <c r="AB43" s="108"/>
      <c r="AC43" s="108"/>
      <c r="AD43" s="108"/>
      <c r="AE43" s="108"/>
    </row>
    <row r="44" ht="15.75" customHeight="1">
      <c r="A44" s="164">
        <v>46147.0</v>
      </c>
      <c r="B44" s="160">
        <f>'peso de las competencias'!G33</f>
        <v>0.03333333333</v>
      </c>
      <c r="C44" s="161">
        <v>1.0</v>
      </c>
      <c r="D44" s="162">
        <f t="shared" si="17"/>
        <v>0.03333333333</v>
      </c>
      <c r="E44" s="126">
        <f t="shared" si="18"/>
        <v>10</v>
      </c>
      <c r="F44" s="163">
        <f t="shared" si="19"/>
        <v>0.03333333333</v>
      </c>
      <c r="G44" s="133"/>
      <c r="H44" s="129"/>
      <c r="I44" s="129"/>
      <c r="J44" s="129"/>
      <c r="K44" s="129"/>
      <c r="L44" s="200">
        <v>10.0</v>
      </c>
      <c r="M44" s="130"/>
      <c r="N44" s="108"/>
      <c r="O44" s="108"/>
      <c r="P44" s="108"/>
      <c r="Q44" s="108"/>
      <c r="R44" s="108"/>
      <c r="S44" s="108"/>
      <c r="T44" s="108"/>
      <c r="U44" s="108"/>
      <c r="V44" s="108"/>
      <c r="W44" s="108"/>
      <c r="X44" s="108"/>
      <c r="Y44" s="108"/>
      <c r="Z44" s="108"/>
      <c r="AA44" s="108"/>
      <c r="AB44" s="108"/>
      <c r="AC44" s="108"/>
      <c r="AD44" s="108"/>
      <c r="AE44" s="108"/>
    </row>
    <row r="45" ht="15.75" customHeight="1">
      <c r="A45" s="142" t="s">
        <v>190</v>
      </c>
      <c r="B45" s="143">
        <f>SUM(B40:B44)</f>
        <v>0.1666666667</v>
      </c>
      <c r="C45" s="144"/>
      <c r="D45" s="143">
        <f>SUM(D40:D44)</f>
        <v>0.1666666667</v>
      </c>
      <c r="E45" s="145"/>
      <c r="F45" s="143">
        <f>SUM(F40:F44)</f>
        <v>0.1666666667</v>
      </c>
      <c r="G45" s="119"/>
      <c r="H45" s="119"/>
      <c r="I45" s="119"/>
      <c r="J45" s="108"/>
      <c r="K45" s="108"/>
      <c r="L45" s="108"/>
      <c r="M45" s="108"/>
      <c r="N45" s="108"/>
      <c r="O45" s="108"/>
      <c r="P45" s="108"/>
      <c r="Q45" s="108"/>
      <c r="R45" s="108"/>
      <c r="S45" s="108"/>
      <c r="T45" s="108"/>
      <c r="U45" s="108"/>
      <c r="V45" s="108"/>
      <c r="W45" s="108"/>
      <c r="X45" s="108"/>
      <c r="Y45" s="108"/>
      <c r="Z45" s="108"/>
      <c r="AA45" s="108"/>
      <c r="AB45" s="108"/>
      <c r="AC45" s="108"/>
      <c r="AD45" s="108"/>
      <c r="AE45" s="108"/>
    </row>
    <row r="46" ht="15.75" customHeight="1">
      <c r="A46" s="108"/>
      <c r="B46" s="108"/>
      <c r="C46" s="108"/>
      <c r="D46" s="108"/>
      <c r="E46" s="108"/>
      <c r="F46" s="108"/>
      <c r="G46" s="108"/>
      <c r="H46" s="108"/>
      <c r="I46" s="108"/>
      <c r="J46" s="108"/>
      <c r="K46" s="108"/>
      <c r="L46" s="108"/>
      <c r="M46" s="108"/>
      <c r="N46" s="108"/>
      <c r="O46" s="108"/>
      <c r="P46" s="108"/>
      <c r="Q46" s="108"/>
      <c r="R46" s="108"/>
      <c r="S46" s="108"/>
      <c r="T46" s="108"/>
      <c r="U46" s="108"/>
      <c r="V46" s="108"/>
      <c r="W46" s="108"/>
      <c r="X46" s="108"/>
      <c r="Y46" s="108"/>
      <c r="Z46" s="108"/>
      <c r="AA46" s="108"/>
      <c r="AB46" s="108"/>
      <c r="AC46" s="108"/>
      <c r="AD46" s="108"/>
      <c r="AE46" s="108"/>
    </row>
    <row r="47" ht="15.75" customHeight="1">
      <c r="A47" s="108"/>
      <c r="B47" s="108"/>
      <c r="C47" s="108"/>
      <c r="D47" s="108"/>
      <c r="E47" s="108"/>
      <c r="F47" s="111"/>
      <c r="G47" s="112" t="s">
        <v>71</v>
      </c>
      <c r="H47" s="3"/>
      <c r="I47" s="3"/>
      <c r="J47" s="3"/>
      <c r="K47" s="3"/>
      <c r="L47" s="3"/>
      <c r="M47" s="3"/>
      <c r="N47" s="108"/>
      <c r="O47" s="108"/>
      <c r="P47" s="108"/>
      <c r="Q47" s="108"/>
      <c r="R47" s="108"/>
      <c r="S47" s="108"/>
      <c r="T47" s="108"/>
      <c r="U47" s="108"/>
      <c r="V47" s="108"/>
      <c r="W47" s="108"/>
      <c r="X47" s="108"/>
      <c r="Y47" s="108"/>
      <c r="Z47" s="108"/>
      <c r="AA47" s="108"/>
      <c r="AB47" s="108"/>
      <c r="AC47" s="108"/>
      <c r="AD47" s="108"/>
      <c r="AE47" s="108"/>
    </row>
    <row r="48">
      <c r="A48" s="155" t="s">
        <v>74</v>
      </c>
      <c r="B48" s="156" t="s">
        <v>75</v>
      </c>
      <c r="C48" s="155" t="s">
        <v>76</v>
      </c>
      <c r="D48" s="116" t="s">
        <v>188</v>
      </c>
      <c r="E48" s="155" t="s">
        <v>93</v>
      </c>
      <c r="F48" s="157" t="s">
        <v>78</v>
      </c>
      <c r="G48" s="155" t="s">
        <v>79</v>
      </c>
      <c r="H48" s="155" t="s">
        <v>80</v>
      </c>
      <c r="I48" s="155" t="s">
        <v>81</v>
      </c>
      <c r="J48" s="155" t="s">
        <v>82</v>
      </c>
      <c r="K48" s="158" t="s">
        <v>83</v>
      </c>
      <c r="L48" s="158" t="s">
        <v>84</v>
      </c>
      <c r="M48" s="158" t="s">
        <v>85</v>
      </c>
      <c r="N48" s="198"/>
      <c r="O48" s="108"/>
      <c r="P48" s="108"/>
      <c r="Q48" s="108"/>
      <c r="R48" s="108"/>
      <c r="S48" s="108"/>
      <c r="T48" s="108"/>
      <c r="U48" s="108"/>
      <c r="V48" s="108"/>
      <c r="W48" s="108"/>
      <c r="X48" s="108"/>
      <c r="Y48" s="108"/>
      <c r="Z48" s="108"/>
      <c r="AA48" s="108"/>
      <c r="AB48" s="108"/>
      <c r="AC48" s="108"/>
      <c r="AD48" s="108"/>
      <c r="AE48" s="108"/>
    </row>
    <row r="49" ht="15.75" customHeight="1">
      <c r="A49" s="159">
        <v>46028.0</v>
      </c>
      <c r="B49" s="160">
        <f>'peso de las competencias'!G36</f>
        <v>0.04166666667</v>
      </c>
      <c r="C49" s="161">
        <v>1.0</v>
      </c>
      <c r="D49" s="162">
        <f t="shared" ref="D49:D52" si="20">C49*B49</f>
        <v>0.04166666667</v>
      </c>
      <c r="E49" s="126">
        <f t="shared" ref="E49:E52" si="21">IF($C49=0, 0, IFERROR(SUM($G49:$N49)/COUNT($G49:$N49), 0))</f>
        <v>0</v>
      </c>
      <c r="F49" s="163">
        <f t="shared" ref="F49:F52" si="22">(E49/10)*D49</f>
        <v>0</v>
      </c>
      <c r="G49" s="133"/>
      <c r="H49" s="129"/>
      <c r="I49" s="133"/>
      <c r="J49" s="129"/>
      <c r="K49" s="130"/>
      <c r="L49" s="130"/>
      <c r="M49" s="130"/>
      <c r="N49" s="108"/>
      <c r="O49" s="108"/>
      <c r="P49" s="108"/>
      <c r="Q49" s="108"/>
      <c r="R49" s="108"/>
      <c r="S49" s="108"/>
      <c r="T49" s="108"/>
      <c r="U49" s="108"/>
      <c r="V49" s="108"/>
      <c r="W49" s="108"/>
      <c r="X49" s="108"/>
      <c r="Y49" s="108"/>
      <c r="Z49" s="108"/>
      <c r="AA49" s="108"/>
      <c r="AB49" s="108"/>
      <c r="AC49" s="108"/>
      <c r="AD49" s="108"/>
      <c r="AE49" s="108"/>
    </row>
    <row r="50" ht="15.75" customHeight="1">
      <c r="A50" s="159">
        <v>46059.0</v>
      </c>
      <c r="B50" s="160">
        <f>'peso de las competencias'!G37</f>
        <v>0.04166666667</v>
      </c>
      <c r="C50" s="161">
        <v>1.0</v>
      </c>
      <c r="D50" s="162">
        <f t="shared" si="20"/>
        <v>0.04166666667</v>
      </c>
      <c r="E50" s="126">
        <f t="shared" si="21"/>
        <v>0</v>
      </c>
      <c r="F50" s="163">
        <f t="shared" si="22"/>
        <v>0</v>
      </c>
      <c r="G50" s="133"/>
      <c r="H50" s="129"/>
      <c r="I50" s="129"/>
      <c r="J50" s="133"/>
      <c r="K50" s="133"/>
      <c r="L50" s="130"/>
      <c r="M50" s="130"/>
      <c r="N50" s="108"/>
      <c r="O50" s="108"/>
      <c r="P50" s="108"/>
      <c r="Q50" s="108"/>
      <c r="R50" s="108"/>
      <c r="S50" s="108"/>
      <c r="T50" s="108"/>
      <c r="U50" s="108"/>
      <c r="V50" s="108"/>
      <c r="W50" s="108"/>
      <c r="X50" s="108"/>
      <c r="Y50" s="108"/>
      <c r="Z50" s="108"/>
      <c r="AA50" s="108"/>
      <c r="AB50" s="108"/>
      <c r="AC50" s="108"/>
      <c r="AD50" s="108"/>
      <c r="AE50" s="108"/>
    </row>
    <row r="51" ht="15.75" customHeight="1">
      <c r="A51" s="164">
        <v>46087.0</v>
      </c>
      <c r="B51" s="160">
        <f>'peso de las competencias'!G38</f>
        <v>0.04166666667</v>
      </c>
      <c r="C51" s="161">
        <v>1.0</v>
      </c>
      <c r="D51" s="162">
        <f t="shared" si="20"/>
        <v>0.04166666667</v>
      </c>
      <c r="E51" s="126">
        <f t="shared" si="21"/>
        <v>10</v>
      </c>
      <c r="F51" s="163">
        <f t="shared" si="22"/>
        <v>0.04166666667</v>
      </c>
      <c r="G51" s="133"/>
      <c r="H51" s="129"/>
      <c r="I51" s="129"/>
      <c r="J51" s="129"/>
      <c r="K51" s="199">
        <v>10.0</v>
      </c>
      <c r="L51" s="130"/>
      <c r="M51" s="130"/>
      <c r="N51" s="108"/>
      <c r="O51" s="108"/>
      <c r="P51" s="108"/>
      <c r="Q51" s="108"/>
      <c r="R51" s="108"/>
      <c r="S51" s="108"/>
      <c r="T51" s="108"/>
      <c r="U51" s="108"/>
      <c r="V51" s="108"/>
      <c r="W51" s="108"/>
      <c r="X51" s="108"/>
      <c r="Y51" s="108"/>
      <c r="Z51" s="108"/>
      <c r="AA51" s="108"/>
      <c r="AB51" s="108"/>
      <c r="AC51" s="108"/>
      <c r="AD51" s="108"/>
      <c r="AE51" s="108"/>
    </row>
    <row r="52" ht="15.75" customHeight="1">
      <c r="A52" s="164">
        <v>46118.0</v>
      </c>
      <c r="B52" s="160">
        <f>'peso de las competencias'!G39</f>
        <v>0.04166666667</v>
      </c>
      <c r="C52" s="161">
        <v>0.0</v>
      </c>
      <c r="D52" s="162">
        <f t="shared" si="20"/>
        <v>0</v>
      </c>
      <c r="E52" s="126">
        <f t="shared" si="21"/>
        <v>0</v>
      </c>
      <c r="F52" s="163">
        <f t="shared" si="22"/>
        <v>0</v>
      </c>
      <c r="G52" s="133"/>
      <c r="H52" s="129"/>
      <c r="I52" s="129"/>
      <c r="J52" s="129"/>
      <c r="K52" s="129"/>
      <c r="L52" s="130"/>
      <c r="M52" s="130"/>
      <c r="N52" s="108"/>
      <c r="O52" s="108"/>
      <c r="P52" s="108"/>
      <c r="Q52" s="108"/>
      <c r="R52" s="108"/>
      <c r="S52" s="108"/>
      <c r="T52" s="108"/>
      <c r="U52" s="108"/>
      <c r="V52" s="108"/>
      <c r="W52" s="108"/>
      <c r="X52" s="108"/>
      <c r="Y52" s="108"/>
      <c r="Z52" s="108"/>
      <c r="AA52" s="108"/>
      <c r="AB52" s="108"/>
      <c r="AC52" s="108"/>
      <c r="AD52" s="108"/>
      <c r="AE52" s="108"/>
    </row>
    <row r="53" ht="15.75" customHeight="1">
      <c r="A53" s="142" t="s">
        <v>168</v>
      </c>
      <c r="B53" s="143">
        <f>SUM(B49:B52)</f>
        <v>0.1666666667</v>
      </c>
      <c r="C53" s="144"/>
      <c r="D53" s="143">
        <f>SUM(D49:D52)</f>
        <v>0.125</v>
      </c>
      <c r="E53" s="145"/>
      <c r="F53" s="143">
        <f>SUM(F49:F52)</f>
        <v>0.04166666667</v>
      </c>
      <c r="G53" s="146"/>
      <c r="H53" s="146"/>
      <c r="I53" s="146"/>
      <c r="J53" s="146"/>
      <c r="K53" s="147"/>
      <c r="L53" s="147"/>
      <c r="M53" s="147"/>
      <c r="N53" s="108"/>
      <c r="O53" s="209" t="s">
        <v>96</v>
      </c>
      <c r="P53" s="210" t="s">
        <v>97</v>
      </c>
      <c r="Q53" s="209" t="s">
        <v>98</v>
      </c>
      <c r="R53" s="209" t="s">
        <v>99</v>
      </c>
      <c r="S53" s="108"/>
      <c r="T53" s="108"/>
      <c r="U53" s="108"/>
      <c r="V53" s="108"/>
      <c r="W53" s="108"/>
      <c r="X53" s="108"/>
      <c r="Y53" s="108"/>
      <c r="Z53" s="108"/>
      <c r="AA53" s="108"/>
      <c r="AB53" s="108"/>
      <c r="AC53" s="108"/>
      <c r="AD53" s="108"/>
      <c r="AE53" s="108"/>
    </row>
    <row r="54">
      <c r="A54" s="108"/>
      <c r="B54" s="108"/>
      <c r="C54" s="108"/>
      <c r="D54" s="108"/>
      <c r="E54" s="108"/>
      <c r="F54" s="108"/>
      <c r="G54" s="108"/>
      <c r="H54" s="108"/>
      <c r="I54" s="108"/>
      <c r="J54" s="108"/>
      <c r="K54" s="108"/>
      <c r="L54" s="108"/>
      <c r="M54" s="108"/>
      <c r="N54" s="108"/>
      <c r="O54" s="211" t="s">
        <v>100</v>
      </c>
      <c r="P54" s="212" t="s">
        <v>191</v>
      </c>
      <c r="Q54" s="213" t="s">
        <v>192</v>
      </c>
      <c r="R54" s="218" t="s">
        <v>193</v>
      </c>
      <c r="S54" s="108"/>
      <c r="T54" s="108"/>
      <c r="U54" s="108"/>
      <c r="V54" s="108"/>
      <c r="W54" s="108"/>
      <c r="X54" s="108"/>
      <c r="Y54" s="108"/>
      <c r="Z54" s="108"/>
      <c r="AA54" s="108"/>
      <c r="AB54" s="108"/>
      <c r="AC54" s="108"/>
      <c r="AD54" s="108"/>
      <c r="AE54" s="108"/>
    </row>
    <row r="55">
      <c r="A55" s="108"/>
      <c r="B55" s="108"/>
      <c r="C55" s="108"/>
      <c r="D55" s="108"/>
      <c r="E55" s="108"/>
      <c r="F55" s="108"/>
      <c r="G55" s="108"/>
      <c r="H55" s="108"/>
      <c r="I55" s="108"/>
      <c r="J55" s="108"/>
      <c r="K55" s="108"/>
      <c r="L55" s="108"/>
      <c r="M55" s="108"/>
      <c r="N55" s="108"/>
      <c r="O55" s="215" t="s">
        <v>129</v>
      </c>
      <c r="P55" s="216" t="s">
        <v>194</v>
      </c>
      <c r="Q55" s="217" t="s">
        <v>185</v>
      </c>
      <c r="R55" s="231" t="s">
        <v>195</v>
      </c>
      <c r="S55" s="108"/>
      <c r="T55" s="108"/>
      <c r="U55" s="108"/>
      <c r="V55" s="108"/>
      <c r="W55" s="108"/>
      <c r="X55" s="108"/>
      <c r="Y55" s="108"/>
      <c r="Z55" s="108"/>
      <c r="AA55" s="108"/>
      <c r="AB55" s="108"/>
      <c r="AC55" s="108"/>
      <c r="AD55" s="108"/>
      <c r="AE55" s="108"/>
    </row>
    <row r="56">
      <c r="A56" s="108"/>
      <c r="B56" s="108"/>
      <c r="C56" s="108"/>
      <c r="D56" s="108"/>
      <c r="E56" s="108"/>
      <c r="F56" s="108"/>
      <c r="G56" s="108"/>
      <c r="H56" s="108"/>
      <c r="I56" s="108"/>
      <c r="J56" s="108"/>
      <c r="K56" s="108"/>
      <c r="L56" s="108"/>
      <c r="M56" s="108"/>
      <c r="N56" s="108"/>
      <c r="O56" s="215" t="s">
        <v>133</v>
      </c>
      <c r="P56" s="219" t="s">
        <v>196</v>
      </c>
      <c r="Q56" s="217" t="s">
        <v>173</v>
      </c>
      <c r="R56" s="218" t="s">
        <v>197</v>
      </c>
      <c r="S56" s="108"/>
      <c r="T56" s="108"/>
      <c r="U56" s="108"/>
      <c r="V56" s="108"/>
      <c r="W56" s="108"/>
      <c r="X56" s="108"/>
      <c r="Y56" s="108"/>
      <c r="Z56" s="108"/>
      <c r="AA56" s="108"/>
      <c r="AB56" s="108"/>
      <c r="AC56" s="108"/>
      <c r="AD56" s="108"/>
      <c r="AE56" s="108"/>
    </row>
    <row r="57">
      <c r="A57" s="108"/>
      <c r="B57" s="108"/>
      <c r="C57" s="108"/>
      <c r="D57" s="108"/>
      <c r="E57" s="108"/>
      <c r="F57" s="108"/>
      <c r="G57" s="108"/>
      <c r="H57" s="108"/>
      <c r="I57" s="108"/>
      <c r="J57" s="108"/>
      <c r="K57" s="108"/>
      <c r="L57" s="108"/>
      <c r="M57" s="108"/>
      <c r="N57" s="108"/>
      <c r="O57" s="215" t="s">
        <v>137</v>
      </c>
      <c r="P57" s="219" t="s">
        <v>198</v>
      </c>
      <c r="Q57" s="217" t="s">
        <v>199</v>
      </c>
      <c r="R57" s="218" t="s">
        <v>200</v>
      </c>
      <c r="S57" s="108"/>
      <c r="T57" s="108"/>
      <c r="U57" s="108"/>
      <c r="V57" s="108"/>
      <c r="W57" s="108"/>
      <c r="X57" s="108"/>
      <c r="Y57" s="108"/>
      <c r="Z57" s="108"/>
      <c r="AA57" s="108"/>
      <c r="AB57" s="108"/>
      <c r="AC57" s="108"/>
      <c r="AD57" s="108"/>
      <c r="AE57" s="108"/>
    </row>
    <row r="58">
      <c r="A58" s="108"/>
      <c r="B58" s="108"/>
      <c r="C58" s="108"/>
      <c r="D58" s="108"/>
      <c r="E58" s="108"/>
      <c r="F58" s="108"/>
      <c r="G58" s="108"/>
      <c r="H58" s="108"/>
      <c r="I58" s="108"/>
      <c r="J58" s="108"/>
      <c r="K58" s="108"/>
      <c r="L58" s="108"/>
      <c r="M58" s="108"/>
      <c r="N58" s="108"/>
      <c r="O58" s="215" t="s">
        <v>141</v>
      </c>
      <c r="P58" s="219" t="s">
        <v>201</v>
      </c>
      <c r="Q58" s="217" t="s">
        <v>202</v>
      </c>
      <c r="R58" s="218" t="s">
        <v>203</v>
      </c>
      <c r="S58" s="108"/>
      <c r="T58" s="108"/>
      <c r="U58" s="108"/>
      <c r="V58" s="108"/>
      <c r="W58" s="108"/>
      <c r="X58" s="108"/>
      <c r="Y58" s="108"/>
      <c r="Z58" s="108"/>
      <c r="AA58" s="108"/>
      <c r="AB58" s="108"/>
      <c r="AC58" s="108"/>
      <c r="AD58" s="108"/>
      <c r="AE58" s="108"/>
    </row>
    <row r="59">
      <c r="A59" s="108"/>
      <c r="B59" s="108"/>
      <c r="C59" s="108"/>
      <c r="D59" s="108"/>
      <c r="E59" s="108"/>
      <c r="F59" s="108"/>
      <c r="G59" s="108"/>
      <c r="H59" s="108"/>
      <c r="I59" s="108"/>
      <c r="J59" s="108"/>
      <c r="K59" s="108"/>
      <c r="L59" s="108"/>
      <c r="M59" s="108"/>
      <c r="N59" s="108"/>
      <c r="O59" s="215" t="s">
        <v>144</v>
      </c>
      <c r="P59" s="232" t="s">
        <v>204</v>
      </c>
      <c r="Q59" s="217" t="s">
        <v>205</v>
      </c>
      <c r="R59" s="218" t="s">
        <v>206</v>
      </c>
      <c r="S59" s="108"/>
      <c r="T59" s="108"/>
      <c r="U59" s="108"/>
      <c r="V59" s="108"/>
      <c r="W59" s="108"/>
      <c r="X59" s="108"/>
      <c r="Y59" s="108"/>
      <c r="Z59" s="108"/>
      <c r="AA59" s="108"/>
      <c r="AB59" s="108"/>
      <c r="AC59" s="108"/>
      <c r="AD59" s="108"/>
      <c r="AE59" s="108"/>
    </row>
    <row r="60">
      <c r="A60" s="108"/>
      <c r="B60" s="108"/>
      <c r="C60" s="108"/>
      <c r="D60" s="108"/>
      <c r="E60" s="108"/>
      <c r="F60" s="108"/>
      <c r="G60" s="108"/>
      <c r="H60" s="108"/>
      <c r="I60" s="108"/>
      <c r="J60" s="108"/>
      <c r="K60" s="108"/>
      <c r="L60" s="108"/>
      <c r="M60" s="108"/>
      <c r="N60" s="108"/>
      <c r="O60" s="215" t="s">
        <v>148</v>
      </c>
      <c r="P60" s="219" t="s">
        <v>207</v>
      </c>
      <c r="Q60" s="217" t="s">
        <v>208</v>
      </c>
      <c r="R60" s="218" t="s">
        <v>209</v>
      </c>
      <c r="S60" s="108"/>
      <c r="T60" s="108"/>
      <c r="U60" s="108"/>
      <c r="V60" s="108"/>
      <c r="W60" s="108"/>
      <c r="X60" s="108"/>
      <c r="Y60" s="108"/>
      <c r="Z60" s="108"/>
      <c r="AA60" s="108"/>
      <c r="AB60" s="108"/>
      <c r="AC60" s="108"/>
      <c r="AD60" s="108"/>
      <c r="AE60" s="108"/>
    </row>
    <row r="61">
      <c r="A61" s="107"/>
      <c r="B61" s="107"/>
      <c r="C61" s="119"/>
      <c r="D61" s="119"/>
      <c r="E61" s="108"/>
      <c r="F61" s="108"/>
      <c r="G61" s="187"/>
      <c r="H61" s="108"/>
      <c r="I61" s="108"/>
      <c r="J61" s="108"/>
      <c r="K61" s="108"/>
      <c r="L61" s="108"/>
      <c r="M61" s="108"/>
      <c r="N61" s="108"/>
      <c r="O61" s="108"/>
      <c r="P61" s="108"/>
      <c r="Q61" s="108"/>
      <c r="R61" s="108"/>
      <c r="S61" s="108"/>
      <c r="T61" s="108"/>
      <c r="U61" s="108"/>
      <c r="V61" s="108"/>
      <c r="W61" s="108"/>
      <c r="X61" s="108"/>
      <c r="Y61" s="108"/>
      <c r="Z61" s="108"/>
      <c r="AA61" s="108"/>
      <c r="AB61" s="108"/>
      <c r="AC61" s="108"/>
      <c r="AD61" s="108"/>
      <c r="AE61" s="108"/>
    </row>
    <row r="62" ht="15.75" customHeight="1">
      <c r="A62" s="107"/>
      <c r="B62" s="107"/>
      <c r="C62" s="119"/>
      <c r="D62" s="119"/>
      <c r="E62" s="108"/>
      <c r="F62" s="108"/>
      <c r="G62" s="187"/>
      <c r="H62" s="108"/>
      <c r="I62" s="108"/>
      <c r="J62" s="108"/>
      <c r="K62" s="108"/>
      <c r="L62" s="108"/>
      <c r="M62" s="108"/>
      <c r="N62" s="108"/>
      <c r="O62" s="108"/>
      <c r="P62" s="108"/>
      <c r="Q62" s="108"/>
      <c r="R62" s="108"/>
      <c r="S62" s="108"/>
      <c r="T62" s="108"/>
      <c r="U62" s="108"/>
      <c r="V62" s="108"/>
      <c r="W62" s="108"/>
      <c r="X62" s="108"/>
      <c r="Y62" s="108"/>
      <c r="Z62" s="108"/>
      <c r="AA62" s="108"/>
      <c r="AB62" s="108"/>
      <c r="AC62" s="108"/>
      <c r="AD62" s="108"/>
      <c r="AE62" s="108"/>
    </row>
    <row r="63" ht="15.75" customHeight="1">
      <c r="A63" s="107"/>
      <c r="B63" s="107"/>
      <c r="C63" s="119"/>
      <c r="D63" s="119"/>
      <c r="E63" s="186"/>
      <c r="F63" s="186"/>
      <c r="G63" s="187"/>
      <c r="H63" s="108"/>
      <c r="I63" s="108"/>
      <c r="J63" s="108"/>
      <c r="K63" s="108"/>
      <c r="L63" s="108"/>
      <c r="M63" s="108"/>
      <c r="N63" s="108"/>
      <c r="O63" s="108"/>
      <c r="P63" s="108"/>
      <c r="Q63" s="108"/>
      <c r="R63" s="108"/>
      <c r="S63" s="108"/>
      <c r="T63" s="108"/>
      <c r="U63" s="108"/>
      <c r="V63" s="108"/>
      <c r="W63" s="108"/>
      <c r="X63" s="108"/>
      <c r="Y63" s="108"/>
      <c r="Z63" s="108"/>
      <c r="AA63" s="108"/>
      <c r="AB63" s="108"/>
      <c r="AC63" s="108"/>
      <c r="AD63" s="108"/>
      <c r="AE63" s="108"/>
    </row>
    <row r="64" ht="15.75" customHeight="1">
      <c r="A64" s="107"/>
      <c r="B64" s="107"/>
      <c r="C64" s="119"/>
      <c r="D64" s="119"/>
      <c r="E64" s="186"/>
      <c r="F64" s="186"/>
      <c r="G64" s="119"/>
      <c r="H64" s="108"/>
      <c r="I64" s="108"/>
      <c r="J64" s="108"/>
      <c r="K64" s="108"/>
      <c r="L64" s="108"/>
      <c r="M64" s="108"/>
      <c r="N64" s="108"/>
      <c r="O64" s="108"/>
      <c r="P64" s="108"/>
      <c r="Q64" s="108"/>
      <c r="R64" s="108"/>
      <c r="S64" s="108"/>
      <c r="T64" s="108"/>
      <c r="U64" s="108"/>
      <c r="V64" s="108"/>
      <c r="W64" s="108"/>
      <c r="X64" s="108"/>
      <c r="Y64" s="108"/>
      <c r="Z64" s="108"/>
      <c r="AA64" s="108"/>
      <c r="AB64" s="108"/>
      <c r="AC64" s="108"/>
      <c r="AD64" s="108"/>
      <c r="AE64" s="108"/>
    </row>
    <row r="65" ht="15.75" customHeight="1">
      <c r="A65" s="107"/>
      <c r="B65" s="107"/>
      <c r="C65" s="119"/>
      <c r="D65" s="119"/>
      <c r="E65" s="186"/>
      <c r="F65" s="186"/>
      <c r="G65" s="119"/>
      <c r="H65" s="108"/>
      <c r="I65" s="108"/>
      <c r="J65" s="108"/>
      <c r="K65" s="108"/>
      <c r="L65" s="108"/>
      <c r="M65" s="108"/>
      <c r="N65" s="108"/>
      <c r="O65" s="108"/>
      <c r="P65" s="108"/>
      <c r="Q65" s="108"/>
      <c r="R65" s="108"/>
      <c r="S65" s="108"/>
      <c r="T65" s="108"/>
      <c r="U65" s="108"/>
      <c r="V65" s="108"/>
      <c r="W65" s="108"/>
      <c r="X65" s="108"/>
      <c r="Y65" s="108"/>
      <c r="Z65" s="108"/>
      <c r="AA65" s="108"/>
      <c r="AB65" s="108"/>
      <c r="AC65" s="108"/>
      <c r="AD65" s="108"/>
      <c r="AE65" s="108"/>
    </row>
    <row r="66" ht="15.75" customHeight="1">
      <c r="A66" s="107"/>
      <c r="B66" s="107"/>
      <c r="C66" s="119"/>
      <c r="D66" s="119"/>
      <c r="E66" s="108"/>
      <c r="F66" s="108"/>
      <c r="G66" s="119"/>
      <c r="H66" s="108"/>
      <c r="I66" s="108"/>
      <c r="J66" s="108"/>
      <c r="K66" s="108"/>
      <c r="L66" s="108"/>
      <c r="M66" s="108"/>
      <c r="N66" s="108"/>
      <c r="O66" s="108"/>
      <c r="P66" s="108"/>
      <c r="Q66" s="108"/>
      <c r="R66" s="108"/>
      <c r="S66" s="108"/>
      <c r="T66" s="108"/>
      <c r="U66" s="108"/>
      <c r="V66" s="108"/>
      <c r="W66" s="108"/>
      <c r="X66" s="108"/>
      <c r="Y66" s="108"/>
      <c r="Z66" s="108"/>
      <c r="AA66" s="108"/>
      <c r="AB66" s="108"/>
      <c r="AC66" s="108"/>
      <c r="AD66" s="108"/>
      <c r="AE66" s="108"/>
    </row>
    <row r="67" ht="15.75" customHeight="1">
      <c r="A67" s="197"/>
      <c r="B67" s="107"/>
      <c r="C67" s="107"/>
      <c r="D67" s="107"/>
      <c r="E67" s="108"/>
      <c r="F67" s="108"/>
      <c r="G67" s="195"/>
      <c r="H67" s="108"/>
      <c r="I67" s="108"/>
      <c r="J67" s="108"/>
      <c r="K67" s="108"/>
      <c r="L67" s="108"/>
      <c r="M67" s="108"/>
      <c r="N67" s="108"/>
      <c r="O67" s="108"/>
      <c r="P67" s="108"/>
      <c r="Q67" s="108"/>
      <c r="R67" s="108"/>
      <c r="S67" s="108"/>
      <c r="T67" s="108"/>
      <c r="U67" s="108"/>
      <c r="V67" s="108"/>
      <c r="W67" s="108"/>
      <c r="X67" s="108"/>
      <c r="Y67" s="108"/>
      <c r="Z67" s="108"/>
      <c r="AA67" s="108"/>
      <c r="AB67" s="108"/>
      <c r="AC67" s="108"/>
      <c r="AD67" s="108"/>
      <c r="AE67" s="108"/>
    </row>
    <row r="68">
      <c r="A68" s="196"/>
      <c r="B68" s="196"/>
      <c r="C68" s="196"/>
      <c r="D68" s="196"/>
      <c r="E68" s="196"/>
      <c r="F68" s="196"/>
      <c r="G68" s="196"/>
      <c r="H68" s="196"/>
      <c r="I68" s="196"/>
      <c r="J68" s="196"/>
      <c r="K68" s="196"/>
      <c r="L68" s="196"/>
      <c r="M68" s="196"/>
      <c r="N68" s="196"/>
      <c r="O68" s="233"/>
      <c r="P68" s="233"/>
      <c r="Q68" s="233"/>
      <c r="R68" s="233"/>
      <c r="S68" s="196"/>
      <c r="T68" s="196"/>
      <c r="U68" s="196"/>
      <c r="V68" s="196"/>
      <c r="W68" s="196"/>
      <c r="X68" s="196"/>
      <c r="Y68" s="196"/>
      <c r="Z68" s="196"/>
      <c r="AA68" s="196"/>
      <c r="AB68" s="196"/>
      <c r="AC68" s="196"/>
      <c r="AD68" s="196"/>
      <c r="AE68" s="196"/>
    </row>
    <row r="69">
      <c r="A69" s="108"/>
      <c r="B69" s="108"/>
      <c r="C69" s="108"/>
      <c r="D69" s="108"/>
      <c r="E69" s="108"/>
      <c r="F69" s="108"/>
      <c r="G69" s="108"/>
      <c r="H69" s="108"/>
      <c r="I69" s="108"/>
      <c r="J69" s="108"/>
      <c r="K69" s="108"/>
      <c r="L69" s="108"/>
      <c r="M69" s="108"/>
      <c r="N69" s="108"/>
      <c r="O69" s="111"/>
      <c r="P69" s="119"/>
      <c r="Q69" s="234"/>
      <c r="R69" s="235"/>
      <c r="S69" s="108"/>
      <c r="T69" s="108"/>
      <c r="U69" s="108"/>
      <c r="V69" s="108"/>
      <c r="W69" s="108"/>
      <c r="X69" s="108"/>
      <c r="Y69" s="108"/>
      <c r="Z69" s="108"/>
      <c r="AA69" s="108"/>
      <c r="AB69" s="108"/>
      <c r="AC69" s="108"/>
      <c r="AD69" s="108"/>
      <c r="AE69" s="108"/>
    </row>
    <row r="70">
      <c r="A70" s="108"/>
      <c r="B70" s="108"/>
      <c r="C70" s="108"/>
      <c r="D70" s="108"/>
      <c r="E70" s="108"/>
      <c r="F70" s="108"/>
      <c r="G70" s="108"/>
      <c r="H70" s="108"/>
      <c r="I70" s="108"/>
      <c r="J70" s="108"/>
      <c r="K70" s="108"/>
      <c r="L70" s="108"/>
      <c r="M70" s="108"/>
      <c r="N70" s="108"/>
      <c r="O70" s="111"/>
      <c r="P70" s="119"/>
      <c r="Q70" s="234"/>
      <c r="R70" s="235"/>
      <c r="S70" s="108"/>
      <c r="T70" s="108"/>
      <c r="U70" s="108"/>
      <c r="V70" s="108"/>
      <c r="W70" s="108"/>
      <c r="X70" s="108"/>
      <c r="Y70" s="108"/>
      <c r="Z70" s="108"/>
      <c r="AA70" s="108"/>
      <c r="AB70" s="108"/>
      <c r="AC70" s="108"/>
      <c r="AD70" s="108"/>
      <c r="AE70" s="108"/>
    </row>
    <row r="71">
      <c r="A71" s="108"/>
      <c r="B71" s="108"/>
      <c r="C71" s="108"/>
      <c r="D71" s="108"/>
      <c r="E71" s="108"/>
      <c r="F71" s="108"/>
      <c r="G71" s="108"/>
      <c r="H71" s="108"/>
      <c r="I71" s="108"/>
      <c r="J71" s="108"/>
      <c r="K71" s="108"/>
      <c r="L71" s="108"/>
      <c r="M71" s="108"/>
      <c r="N71" s="108"/>
      <c r="O71" s="111"/>
      <c r="P71" s="119"/>
      <c r="Q71" s="234"/>
      <c r="R71" s="235"/>
      <c r="S71" s="108"/>
      <c r="T71" s="108"/>
      <c r="U71" s="108"/>
      <c r="V71" s="108"/>
      <c r="W71" s="108"/>
      <c r="X71" s="108"/>
      <c r="Y71" s="108"/>
      <c r="Z71" s="108"/>
      <c r="AA71" s="108"/>
      <c r="AB71" s="108"/>
      <c r="AC71" s="108"/>
      <c r="AD71" s="108"/>
      <c r="AE71" s="108"/>
    </row>
    <row r="72">
      <c r="A72" s="108"/>
      <c r="B72" s="108"/>
      <c r="C72" s="108"/>
      <c r="D72" s="108"/>
      <c r="E72" s="108"/>
      <c r="F72" s="108"/>
      <c r="G72" s="108"/>
      <c r="H72" s="108"/>
      <c r="I72" s="108"/>
      <c r="J72" s="108"/>
      <c r="K72" s="108"/>
      <c r="L72" s="108"/>
      <c r="M72" s="108"/>
      <c r="N72" s="108"/>
      <c r="O72" s="111"/>
      <c r="P72" s="119"/>
      <c r="Q72" s="234"/>
      <c r="R72" s="235"/>
      <c r="S72" s="108"/>
      <c r="T72" s="108"/>
      <c r="U72" s="108"/>
      <c r="V72" s="108"/>
      <c r="W72" s="108"/>
      <c r="X72" s="108"/>
      <c r="Y72" s="108"/>
      <c r="Z72" s="108"/>
      <c r="AA72" s="108"/>
      <c r="AB72" s="108"/>
      <c r="AC72" s="108"/>
      <c r="AD72" s="108"/>
      <c r="AE72" s="108"/>
    </row>
    <row r="73">
      <c r="A73" s="108"/>
      <c r="B73" s="108"/>
      <c r="C73" s="108"/>
      <c r="D73" s="108"/>
      <c r="E73" s="108"/>
      <c r="F73" s="108"/>
      <c r="G73" s="108"/>
      <c r="H73" s="108"/>
      <c r="I73" s="108"/>
      <c r="J73" s="108"/>
      <c r="K73" s="108"/>
      <c r="L73" s="108"/>
      <c r="M73" s="108"/>
      <c r="N73" s="108"/>
      <c r="O73" s="111"/>
      <c r="P73" s="119"/>
      <c r="Q73" s="234"/>
      <c r="R73" s="235"/>
      <c r="S73" s="108"/>
      <c r="T73" s="108"/>
      <c r="U73" s="108"/>
      <c r="V73" s="108"/>
      <c r="W73" s="108"/>
      <c r="X73" s="108"/>
      <c r="Y73" s="108"/>
      <c r="Z73" s="108"/>
      <c r="AA73" s="108"/>
      <c r="AB73" s="108"/>
      <c r="AC73" s="108"/>
      <c r="AD73" s="108"/>
      <c r="AE73" s="108"/>
    </row>
    <row r="74">
      <c r="A74" s="108"/>
      <c r="B74" s="108"/>
      <c r="C74" s="108"/>
      <c r="D74" s="108"/>
      <c r="E74" s="108"/>
      <c r="F74" s="108"/>
      <c r="G74" s="108"/>
      <c r="H74" s="108"/>
      <c r="I74" s="108"/>
      <c r="J74" s="108"/>
      <c r="K74" s="108"/>
      <c r="L74" s="108"/>
      <c r="M74" s="108"/>
      <c r="N74" s="108"/>
      <c r="O74" s="111"/>
      <c r="P74" s="119"/>
      <c r="Q74" s="234"/>
      <c r="R74" s="235"/>
      <c r="S74" s="108"/>
      <c r="T74" s="108"/>
      <c r="U74" s="108"/>
      <c r="V74" s="108"/>
      <c r="W74" s="108"/>
      <c r="X74" s="108"/>
      <c r="Y74" s="108"/>
      <c r="Z74" s="108"/>
      <c r="AA74" s="108"/>
      <c r="AB74" s="108"/>
      <c r="AC74" s="108"/>
      <c r="AD74" s="108"/>
      <c r="AE74" s="108"/>
    </row>
    <row r="75">
      <c r="A75" s="108"/>
      <c r="B75" s="108"/>
      <c r="C75" s="108"/>
      <c r="D75" s="108"/>
      <c r="E75" s="108"/>
      <c r="F75" s="108"/>
      <c r="G75" s="108"/>
      <c r="H75" s="108"/>
      <c r="I75" s="108"/>
      <c r="J75" s="108"/>
      <c r="K75" s="108"/>
      <c r="L75" s="108"/>
      <c r="M75" s="108"/>
      <c r="N75" s="108"/>
      <c r="O75" s="111"/>
      <c r="P75" s="119"/>
      <c r="Q75" s="234"/>
      <c r="R75" s="235"/>
      <c r="S75" s="108"/>
      <c r="T75" s="108"/>
      <c r="U75" s="108"/>
      <c r="V75" s="108"/>
      <c r="W75" s="108"/>
      <c r="X75" s="108"/>
      <c r="Y75" s="108"/>
      <c r="Z75" s="108"/>
      <c r="AA75" s="108"/>
      <c r="AB75" s="108"/>
      <c r="AC75" s="108"/>
      <c r="AD75" s="108"/>
      <c r="AE75" s="108"/>
    </row>
    <row r="76">
      <c r="A76" s="108"/>
      <c r="B76" s="108"/>
      <c r="C76" s="108"/>
      <c r="D76" s="108"/>
      <c r="E76" s="108"/>
      <c r="F76" s="108"/>
      <c r="G76" s="108"/>
      <c r="H76" s="108"/>
      <c r="I76" s="108"/>
      <c r="J76" s="108"/>
      <c r="K76" s="108"/>
      <c r="L76" s="108"/>
      <c r="M76" s="108"/>
      <c r="N76" s="108"/>
      <c r="O76" s="111"/>
      <c r="P76" s="119"/>
      <c r="Q76" s="234"/>
      <c r="R76" s="235"/>
      <c r="S76" s="108"/>
      <c r="T76" s="108"/>
      <c r="U76" s="108"/>
      <c r="V76" s="108"/>
      <c r="W76" s="108"/>
      <c r="X76" s="108"/>
      <c r="Y76" s="108"/>
      <c r="Z76" s="108"/>
      <c r="AA76" s="108"/>
      <c r="AB76" s="108"/>
      <c r="AC76" s="108"/>
      <c r="AD76" s="108"/>
      <c r="AE76" s="108"/>
    </row>
    <row r="77">
      <c r="A77" s="108"/>
      <c r="B77" s="108"/>
      <c r="C77" s="108"/>
      <c r="D77" s="108"/>
      <c r="E77" s="108"/>
      <c r="F77" s="108"/>
      <c r="G77" s="108"/>
      <c r="H77" s="108"/>
      <c r="I77" s="108"/>
      <c r="J77" s="108"/>
      <c r="K77" s="108"/>
      <c r="L77" s="108"/>
      <c r="M77" s="108"/>
      <c r="N77" s="108"/>
      <c r="O77" s="111"/>
      <c r="P77" s="119"/>
      <c r="Q77" s="234"/>
      <c r="R77" s="235"/>
      <c r="S77" s="108"/>
      <c r="T77" s="108"/>
      <c r="U77" s="108"/>
      <c r="V77" s="108"/>
      <c r="W77" s="108"/>
      <c r="X77" s="108"/>
      <c r="Y77" s="108"/>
      <c r="Z77" s="108"/>
      <c r="AA77" s="108"/>
      <c r="AB77" s="108"/>
      <c r="AC77" s="108"/>
      <c r="AD77" s="108"/>
      <c r="AE77" s="108"/>
    </row>
    <row r="78" ht="15.75"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c r="AA78" s="108"/>
      <c r="AB78" s="108"/>
      <c r="AC78" s="108"/>
      <c r="AD78" s="108"/>
      <c r="AE78" s="108"/>
    </row>
    <row r="79" ht="15.75"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c r="AA79" s="108"/>
      <c r="AB79" s="108"/>
      <c r="AC79" s="108"/>
      <c r="AD79" s="108"/>
      <c r="AE79" s="108"/>
    </row>
    <row r="80" ht="15.75"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c r="AA80" s="108"/>
      <c r="AB80" s="108"/>
      <c r="AC80" s="108"/>
      <c r="AD80" s="108"/>
      <c r="AE80" s="108"/>
    </row>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sheetData>
  <mergeCells count="6">
    <mergeCell ref="G5:M5"/>
    <mergeCell ref="G15:M15"/>
    <mergeCell ref="G23:M23"/>
    <mergeCell ref="G30:M30"/>
    <mergeCell ref="G38:M38"/>
    <mergeCell ref="G47:M47"/>
  </mergeCells>
  <printOptions/>
  <pageMargins bottom="0.75" footer="0.0" header="0.0" left="0.7" right="0.7" top="0.75"/>
  <pageSetup paperSize="9" orientation="landscape"/>
  <drawing r:id="rId1"/>
  <tableParts count="9">
    <tablePart r:id="rId11"/>
    <tablePart r:id="rId12"/>
    <tablePart r:id="rId13"/>
    <tablePart r:id="rId14"/>
    <tablePart r:id="rId15"/>
    <tablePart r:id="rId16"/>
    <tablePart r:id="rId17"/>
    <tablePart r:id="rId18"/>
    <tablePart r:id="rId19"/>
  </tableParts>
</worksheet>
</file>